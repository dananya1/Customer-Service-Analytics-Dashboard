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hidePivotFieldList="1"/>
  <mc:AlternateContent xmlns:mc="http://schemas.openxmlformats.org/markup-compatibility/2006">
    <mc:Choice Requires="x15">
      <x15ac:absPath xmlns:x15ac="http://schemas.microsoft.com/office/spreadsheetml/2010/11/ac" url="https://d.docs.live.net/21b7d6818c669b90/Desktop/"/>
    </mc:Choice>
  </mc:AlternateContent>
  <xr:revisionPtr revIDLastSave="880" documentId="8_{42BB286E-C915-415C-92F9-AB3E116B32E3}" xr6:coauthVersionLast="47" xr6:coauthVersionMax="47" xr10:uidLastSave="{627E14A4-C3FC-418C-97EC-A68169467869}"/>
  <bookViews>
    <workbookView xWindow="-108" yWindow="-108" windowWidth="23256" windowHeight="12456" activeTab="2" xr2:uid="{26D4546B-D2A1-4444-8EAF-A6228F96F0C1}"/>
  </bookViews>
  <sheets>
    <sheet name="pivots" sheetId="6" r:id="rId1"/>
    <sheet name="Data" sheetId="2" r:id="rId2"/>
    <sheet name="customer centre report" sheetId="5" r:id="rId3"/>
    <sheet name="Assets" sheetId="4" r:id="rId4"/>
  </sheets>
  <definedNames>
    <definedName name="_xlnm._FilterDatabase" localSheetId="1" hidden="1">Data!$B$3:$H$1003</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42" r:id="rId9"/>
    <pivotCache cacheId="45" r:id="rId10"/>
    <pivotCache cacheId="48" r:id="rId11"/>
    <pivotCache cacheId="51" r:id="rId12"/>
    <pivotCache cacheId="54"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7" i="6" l="1"/>
  <c r="M29" i="5" s="1"/>
  <c r="I6" i="6"/>
  <c r="I11" i="6" s="1"/>
  <c r="I16" i="6" s="1"/>
  <c r="M32" i="5" s="1"/>
  <c r="I5" i="6"/>
  <c r="I10" i="6" s="1"/>
  <c r="I15" i="6" s="1"/>
  <c r="M31" i="5" s="1"/>
  <c r="I4" i="6"/>
  <c r="I14" i="6" s="1"/>
  <c r="M30" i="5" s="1"/>
  <c r="U16" i="5"/>
  <c r="P16" i="5" a="1"/>
  <c r="P16" i="5" s="1"/>
  <c r="O17" i="5" a="1"/>
  <c r="O17" i="5" s="1"/>
  <c r="I38" i="6"/>
  <c r="H42" i="6" s="1"/>
  <c r="E41" i="6" a="1"/>
  <c r="E41"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45" i="6" l="1"/>
  <c r="I44" i="6"/>
  <c r="I41" i="6"/>
  <c r="I43" i="6"/>
  <c r="I42" i="6"/>
  <c r="H41" i="6"/>
  <c r="H45" i="6"/>
  <c r="H44" i="6"/>
  <c r="H4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EDCFE9-BAB3-4456-8C21-D16C3632E7B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5AB7B2A-C8A1-409E-B955-A59683672657}"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3" xr16:uid="{10079C5D-D420-433E-B0B7-6CAEE22BC3DC}"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<sst xmlns="http://schemas.openxmlformats.org/spreadsheetml/2006/main" count="3174" uniqueCount="1087">
  <si>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</si>
  <si>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</si>
  <si>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</si>
  <si>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</si>
  <si>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</si>
  <si>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</si>
  <si>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</si>
  <si>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</si>
  <si>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</si>
  <si>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</si>
  <si>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</si>
  <si>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</si>
  <si>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</si>
  <si>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</si>
  <si>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</si>
  <si>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</si>
  <si>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</si>
  <si>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</si>
  <si>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</si>
  <si>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</si>
  <si>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</si>
  <si>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</si>
  <si>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</si>
  <si>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</si>
  <si>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</si>
  <si>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</si>
  <si>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</si>
  <si>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</si>
  <si>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</si>
  <si>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</si>
  <si>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</si>
  <si>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</si>
  <si>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</si>
  <si>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</si>
  <si>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</si>
  <si>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</si>
  <si>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</si>
  <si>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</si>
  <si>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</si>
  <si>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</si>
  <si>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</si>
  <si>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</si>
  <si>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</si>
  <si>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</si>
  <si>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</si>
  <si>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</si>
  <si>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</si>
  <si>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</si>
  <si>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</si>
  <si>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</si>
  <si>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</si>
  <si>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</si>
  <si>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</si>
  <si>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</si>
  <si>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</si>
  <si>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</si>
  <si>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</si>
  <si>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</si>
  <si>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</si>
  <si>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</si>
  <si>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</si>
  <si>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</si>
  <si>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</si>
  <si>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</si>
  <si>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</si>
  <si>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</si>
  <si>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</si>
  <si>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</si>
  <si>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</si>
  <si>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</si>
  <si>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</si>
  <si>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</si>
  <si>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</si>
  <si>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</si>
  <si>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</si>
  <si>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</si>
  <si>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</si>
  <si>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</si>
  <si>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</si>
  <si>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</si>
  <si>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</si>
  <si>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</si>
  <si>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</si>
  <si>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</si>
  <si>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</si>
  <si>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</si>
  <si>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</si>
  <si>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</si>
  <si>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</si>
  <si>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</si>
  <si>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</si>
  <si>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</si>
  <si>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</si>
  <si>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</si>
  <si>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</si>
  <si>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</si>
  <si>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</si>
  <si>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</si>
  <si>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</si>
  <si>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</si>
  <si>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</si>
  <si>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</si>
  <si>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</si>
  <si>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</si>
  <si>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</si>
  <si>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</si>
  <si>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</si>
  <si>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</si>
  <si>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</si>
  <si>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</si>
  <si>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</si>
  <si>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</si>
  <si>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</si>
  <si>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</si>
  <si>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</si>
  <si>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</si>
  <si>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</si>
  <si>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</si>
  <si>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</si>
  <si>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</si>
  <si>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</si>
  <si>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</si>
  <si>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</si>
  <si>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</si>
  <si>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</si>
  <si>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</si>
  <si>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</si>
  <si>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</si>
  <si>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</si>
  <si>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</si>
  <si>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</si>
  <si>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</si>
  <si>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</si>
  <si>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</si>
  <si>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</si>
  <si>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</si>
  <si>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</si>
  <si>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</si>
  <si>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</si>
  <si>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</si>
  <si>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</si>
  <si>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</si>
  <si>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</si>
  <si>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</si>
  <si>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</si>
  <si>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</si>
  <si>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</si>
  <si>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</si>
  <si>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</si>
  <si>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</si>
  <si>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</si>
  <si>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</si>
  <si>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</si>
  <si>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</si>
  <si>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</si>
  <si>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</si>
  <si>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</si>
  <si>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</si>
  <si>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</si>
  <si>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</si>
  <si>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</si>
  <si>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</si>
  <si>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</si>
  <si>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</si>
  <si>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</si>
  <si>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</si>
  <si>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</si>
  <si>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</si>
  <si>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</si>
  <si>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</si>
  <si>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</si>
  <si>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</si>
  <si>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</si>
  <si>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</si>
  <si>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</si>
  <si>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</si>
  <si>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</si>
  <si>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</si>
  <si>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</si>
  <si>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</si>
  <si>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</si>
  <si>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</si>
  <si>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</si>
  <si>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</si>
  <si>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</si>
  <si>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</si>
  <si>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</si>
  <si>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</si>
  <si>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</si>
  <si>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</si>
  <si>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</si>
  <si>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</si>
  <si>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</si>
  <si>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</si>
  <si>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</si>
  <si>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</si>
  <si>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</si>
  <si>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</si>
  <si>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</si>
  <si>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</si>
  <si>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</si>
  <si>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</si>
  <si>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</si>
  <si>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</si>
  <si>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</si>
  <si>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</si>
  <si>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</si>
  <si>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</si>
  <si>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</si>
  <si>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</si>
  <si>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</si>
  <si>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</si>
  <si>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</si>
  <si>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</si>
  <si>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</si>
  <si>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</si>
  <si>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</si>
  <si>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</si>
  <si>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</si>
  <si>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</si>
  <si>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</si>
  <si>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</si>
  <si>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</si>
  <si>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</si>
  <si>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</si>
  <si>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</si>
  <si>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</si>
  <si>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</si>
  <si>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</si>
  <si>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</si>
  <si>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</si>
  <si>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</si>
  <si>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</si>
  <si>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</si>
  <si>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</si>
  <si>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</si>
  <si>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</si>
  <si>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</si>
  <si>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</si>
  <si>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</si>
  <si>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</si>
  <si>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</si>
  <si>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</si>
  <si>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</si>
  <si>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</si>
  <si>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</si>
  <si>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</si>
  <si>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</si>
  <si>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</si>
  <si>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</si>
  <si>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</si>
  <si>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</si>
  <si>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</si>
  <si>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</si>
  <si>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</si>
  <si>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</si>
  <si>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</si>
  <si>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</si>
  <si>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</si>
  <si>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</si>
  <si>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</si>
  <si>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</si>
  <si>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</si>
  <si>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</si>
  <si>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</si>
  <si>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</si>
  <si>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</si>
  <si>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</si>
  <si>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</si>
  <si>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</si>
  <si>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</si>
  <si>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</si>
  <si>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</si>
  <si>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</si>
  <si>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</si>
  <si>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</si>
  <si>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</si>
  <si>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</si>
  <si>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</si>
  <si>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</si>
  <si>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</si>
  <si>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</si>
  <si>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</si>
  <si>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</si>
  <si>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</si>
  <si>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</si>
  <si>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</si>
  <si>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</si>
  <si>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</si>
  <si>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</si>
  <si>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</si>
  <si>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</si>
  <si>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</si>
  <si>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</si>
  <si>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</si>
  <si>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</si>
  <si>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</si>
  <si>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</si>
  <si>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</si>
  <si>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</si>
  <si>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</si>
  <si>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</si>
  <si>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</si>
  <si>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</si>
  <si>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</si>
  <si>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</si>
  <si>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</si>
  <si>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</si>
  <si>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</si>
  <si>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</si>
  <si>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</si>
  <si>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</si>
  <si>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</si>
  <si>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</si>
  <si>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</si>
  <si>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</si>
  <si>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</si>
  <si>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</si>
  <si>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</si>
  <si>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</si>
  <si>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</si>
  <si>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</si>
  <si>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</si>
  <si>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</si>
  <si>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</si>
  <si>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</si>
  <si>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</si>
  <si>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</si>
  <si>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</si>
  <si>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</si>
  <si>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</si>
  <si>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</si>
  <si>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</si>
  <si>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</si>
  <si>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</si>
  <si>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</si>
  <si>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</si>
  <si>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</si>
  <si>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</si>
  <si>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</si>
  <si>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</si>
  <si>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</si>
  <si>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</si>
  <si>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</si>
  <si>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</si>
  <si>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</si>
  <si>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</si>
  <si>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</si>
  <si>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</si>
  <si>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</si>
  <si>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</si>
  <si>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</si>
  <si>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</si>
  <si>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</si>
  <si>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</si>
  <si>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</si>
  <si>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</si>
  <si>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</si>
  <si>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</si>
  <si>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</si>
  <si>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</si>
  <si>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</si>
  <si>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</si>
  <si>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</si>
  <si>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</si>
  <si>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</si>
  <si>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</si>
  <si>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</si>
  <si>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</si>
  <si>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</si>
  <si>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</si>
  <si>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</si>
  <si>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</si>
  <si>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</si>
  <si>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</si>
  <si>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</si>
  <si>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</si>
  <si>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</si>
  <si>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</si>
  <si>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</si>
  <si>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</si>
  <si>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</si>
  <si>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</si>
  <si>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</si>
  <si>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</si>
  <si>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</si>
  <si>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</si>
  <si>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</si>
  <si>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</si>
  <si>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</si>
  <si>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</si>
  <si>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</si>
  <si>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</si>
  <si>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</si>
  <si>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</si>
  <si>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</si>
  <si>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</si>
  <si>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</si>
  <si>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</si>
  <si>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</si>
  <si>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</si>
  <si>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</si>
  <si>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</si>
  <si>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</si>
  <si>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</si>
  <si>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</si>
  <si>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</si>
  <si>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</si>
  <si>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</si>
  <si>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</si>
  <si>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</si>
  <si>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</si>
  <si>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</si>
  <si>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</si>
  <si>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</si>
  <si>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</si>
  <si>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</si>
  <si>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</si>
  <si>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</si>
  <si>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</si>
  <si>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</si>
  <si>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</si>
  <si>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</si>
  <si>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</si>
  <si>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</si>
  <si>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</si>
  <si>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</si>
  <si>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</si>
  <si>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</si>
  <si>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</si>
  <si>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</si>
  <si>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</si>
  <si>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</si>
  <si>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</si>
  <si>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</si>
  <si>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</si>
  <si>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</si>
  <si>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</si>
  <si>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</si>
  <si>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</si>
  <si>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</si>
  <si>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</si>
  <si>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</si>
  <si>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</si>
  <si>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</si>
  <si>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</si>
  <si>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</si>
  <si>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</si>
  <si>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</si>
  <si>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</si>
  <si>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</si>
  <si>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</si>
  <si>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</si>
  <si>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</si>
  <si>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</si>
  <si>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</si>
  <si>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</si>
  <si>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</si>
  <si>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</si>
  <si>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</si>
  <si>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</si>
  <si>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</si>
  <si>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</si>
  <si>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</si>
  <si>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</si>
  <si>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</si>
  <si>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</si>
  <si>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</si>
  <si>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</si>
  <si>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</si>
  <si>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</si>
  <si>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</si>
  <si>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</si>
  <si>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</si>
  <si>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</si>
  <si>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</si>
  <si>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</si>
  <si>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</si>
  <si>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</si>
  <si>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</si>
  <si>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</si>
  <si>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</si>
  <si>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</si>
  <si>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</si>
  <si>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</si>
  <si>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</si>
  <si>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</si>
  <si>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</si>
  <si>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</si>
  <si>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</si>
  <si>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</si>
  <si>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</si>
  <si>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</si>
  <si>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</si>
  <si>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</si>
  <si>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</si>
  <si>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</si>
  <si>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</si>
  <si>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</si>
  <si>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</si>
  <si>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</si>
  <si>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</si>
  <si>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</si>
  <si>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</si>
  <si>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</si>
  <si>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</si>
  <si>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</si>
  <si>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</si>
  <si>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</si>
  <si>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</si>
  <si>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</si>
  <si>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</si>
  <si>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</si>
  <si>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</si>
  <si>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</si>
  <si>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</si>
  <si>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</si>
  <si>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</si>
  <si>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</si>
  <si>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</si>
  <si>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</si>
  <si>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</si>
  <si>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</si>
  <si>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</si>
  <si>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</si>
  <si>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</si>
  <si>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</si>
  <si>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</si>
  <si>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</si>
  <si>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</si>
  <si>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</si>
  <si>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</si>
  <si>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</si>
  <si>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</si>
  <si>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</si>
  <si>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</si>
  <si>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</si>
  <si>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</si>
  <si>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</si>
  <si>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</si>
  <si>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</si>
  <si>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</si>
  <si>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</si>
  <si>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</si>
  <si>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</si>
  <si>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</si>
  <si>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</si>
  <si>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</si>
  <si>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</si>
  <si>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</si>
  <si>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</si>
  <si>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</si>
  <si>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</si>
  <si>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</si>
  <si>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</si>
  <si>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</si>
  <si>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</si>
  <si>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</si>
  <si>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</si>
  <si>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</si>
  <si>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</si>
  <si>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</si>
  <si>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</si>
  <si>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</si>
  <si>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</si>
  <si>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</si>
  <si>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</si>
  <si>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</si>
  <si>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</si>
  <si>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</si>
  <si>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</si>
  <si>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</si>
  <si>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</si>
  <si>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</si>
  <si>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</si>
  <si>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</si>
  <si>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</si>
  <si>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</si>
  <si>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</si>
  <si>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</si>
  <si>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</si>
  <si>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</si>
  <si>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</si>
  <si>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</si>
  <si>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</si>
  <si>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</si>
  <si>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</si>
  <si>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</si>
  <si>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</si>
  <si>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</si>
  <si>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</si>
  <si>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</si>
  <si>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</si>
  <si>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</si>
  <si>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</si>
  <si>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</si>
  <si>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</si>
  <si>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</si>
  <si>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</si>
  <si>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</si>
  <si>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</si>
  <si>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</si>
  <si>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</si>
  <si>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</si>
  <si>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</si>
  <si>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</si>
  <si>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</si>
  <si>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</si>
  <si>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</si>
  <si>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</si>
  <si>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</si>
  <si>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</si>
  <si>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</si>
  <si>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</si>
  <si>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</si>
  <si>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</si>
  <si>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</si>
  <si>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</si>
  <si>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</si>
  <si>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</si>
  <si>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</si>
  <si>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</si>
  <si>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</si>
  <si>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</si>
  <si>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</si>
  <si>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</si>
  <si>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</si>
  <si>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</si>
  <si>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</si>
  <si>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</si>
  <si>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</si>
  <si>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</si>
  <si>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</si>
  <si>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</si>
  <si>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</si>
  <si>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</si>
  <si>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</si>
  <si>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</si>
  <si>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</si>
  <si>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</si>
  <si>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</si>
  <si>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</si>
  <si>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</si>
  <si>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</si>
  <si>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</si>
  <si>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</si>
  <si>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</si>
  <si>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</si>
  <si>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</si>
  <si>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</si>
  <si>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</si>
  <si>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</si>
  <si>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</si>
  <si>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</si>
  <si>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</si>
  <si>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</si>
  <si>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</si>
  <si>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</si>
  <si>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</si>
  <si>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</si>
  <si>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</si>
  <si>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</si>
  <si>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</si>
  <si>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</si>
  <si>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</si>
  <si>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</si>
  <si>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</si>
  <si>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</si>
  <si>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</si>
  <si>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</si>
  <si>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</si>
  <si>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</si>
  <si>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</si>
  <si>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</si>
  <si>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</si>
  <si>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</si>
  <si>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</si>
  <si>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</si>
  <si>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</si>
  <si>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</si>
  <si>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</si>
  <si>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</si>
  <si>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</si>
  <si>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</si>
  <si>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</si>
  <si>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</si>
  <si>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</si>
  <si>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</si>
  <si>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</si>
  <si>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</si>
  <si>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</si>
  <si>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</si>
  <si>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</si>
  <si>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</si>
  <si>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</si>
  <si>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</si>
  <si>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</si>
  <si>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</si>
  <si>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</si>
  <si>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</si>
  <si>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</si>
  <si>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</si>
  <si>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</si>
  <si>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</si>
  <si>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</si>
  <si>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</si>
  <si>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</si>
  <si>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</si>
  <si>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</si>
  <si>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</si>
  <si>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</si>
  <si>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</si>
  <si>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</si>
  <si>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</si>
  <si>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</si>
  <si>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</si>
  <si>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</si>
  <si>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</si>
  <si>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</si>
  <si>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</si>
  <si>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</si>
  <si>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</si>
  <si>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</si>
  <si>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</si>
  <si>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</si>
  <si>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</si>
  <si>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</si>
  <si>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</si>
  <si>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</si>
  <si>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</si>
  <si>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</si>
  <si>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</si>
  <si>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</si>
  <si>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</si>
  <si>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</si>
  <si>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</si>
  <si>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</si>
  <si>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</si>
  <si>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</si>
  <si>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</si>
  <si>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</si>
  <si>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</si>
  <si>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</si>
  <si>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</si>
  <si>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</si>
  <si>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</si>
  <si>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</si>
  <si>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</si>
  <si>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</si>
  <si>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</si>
  <si>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</si>
  <si>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</si>
  <si>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</si>
  <si>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</si>
  <si>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</si>
  <si>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</si>
  <si>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</si>
  <si>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</si>
  <si>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</si>
  <si>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</si>
  <si>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</si>
  <si>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</si>
  <si>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</si>
  <si>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</si>
  <si>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</si>
  <si>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</si>
  <si>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</si>
  <si>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</si>
  <si>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</si>
  <si>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</si>
  <si>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</si>
  <si>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</si>
  <si>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</si>
  <si>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</si>
  <si>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</si>
  <si>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</si>
  <si>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</si>
  <si>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</si>
  <si>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</si>
  <si>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</si>
  <si>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</si>
  <si>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</si>
  <si>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</si>
  <si>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</si>
  <si>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</si>
  <si>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</si>
  <si>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</si>
  <si>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</si>
  <si>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</si>
  <si>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</si>
  <si>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</si>
  <si>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</si>
  <si>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</si>
  <si>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</si>
  <si>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</si>
  <si>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</si>
  <si>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</si>
  <si>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</si>
  <si>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</si>
  <si>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</si>
  <si>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</si>
  <si>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</si>
  <si>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</si>
  <si>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</si>
  <si>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</si>
  <si>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</si>
  <si>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</si>
  <si>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</si>
  <si>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</si>
  <si>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</si>
  <si>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</si>
  <si>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</si>
  <si>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</si>
  <si>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</si>
  <si>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</si>
  <si>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</si>
  <si>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</si>
  <si>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</si>
  <si>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</si>
  <si>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</si>
  <si>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</si>
  <si>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</si>
  <si>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</si>
  <si>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</si>
  <si>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</si>
  <si>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</si>
  <si>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</si>
  <si>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</si>
  <si>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</si>
  <si>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</si>
  <si>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</si>
  <si>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</si>
  <si>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</si>
  <si>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</si>
  <si>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</si>
  <si>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</si>
  <si>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</si>
  <si>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</si>
  <si>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</si>
  <si>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</si>
  <si>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</si>
  <si>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</si>
  <si>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</si>
  <si>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</si>
  <si>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</si>
  <si>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</si>
  <si>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</si>
  <si>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</si>
  <si>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</si>
  <si>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</si>
  <si>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</si>
  <si>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</si>
  <si>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</si>
  <si>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</si>
  <si>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</si>
  <si>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</si>
  <si>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</si>
  <si>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</si>
  <si>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</si>
  <si>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</si>
  <si>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</si>
  <si>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</si>
  <si>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</si>
  <si>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</si>
  <si>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</si>
  <si>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</si>
  <si>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</si>
  <si>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</si>
  <si>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</si>
  <si>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</si>
  <si>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</si>
  <si>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</si>
  <si>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</si>
  <si>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</si>
  <si>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</si>
  <si>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</si>
  <si>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</si>
  <si>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</si>
  <si>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</si>
  <si>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</si>
  <si>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</si>
  <si>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</si>
  <si>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</si>
  <si>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</si>
  <si>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</si>
  <si>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</si>
  <si>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</si>
  <si>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</si>
  <si>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</si>
  <si>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</si>
  <si>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</si>
  <si>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</si>
  <si>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</si>
  <si>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</si>
  <si>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</si>
  <si>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</si>
  <si>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</si>
  <si>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</si>
  <si>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</si>
  <si>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</si>
  <si>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</si>
  <si>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</si>
  <si>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</si>
  <si>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</si>
  <si>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</si>
  <si>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</si>
  <si>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</si>
  <si>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</si>
  <si>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</si>
  <si>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</si>
  <si>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</si>
  <si>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</si>
  <si>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</si>
  <si>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</si>
  <si>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</si>
  <si>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</si>
  <si>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</si>
  <si>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</si>
  <si>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</si>
  <si>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</si>
  <si>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</si>
  <si>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</si>
  <si>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</si>
  <si>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</si>
  <si>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</si>
  <si>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</si>
  <si>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</si>
  <si>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</si>
  <si>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</si>
  <si>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</si>
  <si>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</si>
  <si>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</si>
  <si>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</si>
  <si>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</si>
  <si>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</si>
  <si>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</si>
  <si>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</si>
  <si>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</si>
  <si>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</si>
  <si>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</si>
  <si>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</si>
  <si>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</si>
  <si>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</si>
  <si>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</si>
  <si>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</si>
  <si>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</si>
  <si>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</si>
  <si>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</si>
  <si>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</si>
  <si>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</si>
  <si>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</si>
  <si>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</si>
  <si>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</si>
  <si>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</si>
  <si>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</si>
  <si>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</si>
  <si>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</si>
  <si>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</si>
  <si>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</si>
  <si>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</si>
  <si>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</si>
  <si>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</si>
  <si>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</si>
  <si>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</si>
  <si>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</si>
  <si>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</si>
  <si>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</si>
  <si>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</si>
  <si>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</si>
  <si>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</si>
  <si>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</si>
  <si>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</si>
  <si>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</si>
  <si>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</si>
  <si>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</si>
  <si>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</si>
  <si>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</si>
  <si>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</si>
  <si>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</si>
  <si>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</si>
  <si>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</si>
  <si>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</si>
  <si>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</si>
  <si>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</si>
  <si>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</si>
  <si>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</si>
  <si>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</si>
  <si>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</si>
  <si>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</si>
  <si>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</si>
  <si>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</si>
  <si>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</si>
  <si>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</si>
  <si>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</si>
  <si>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</si>
  <si>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</si>
  <si>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</si>
  <si>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</si>
  <si>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</si>
  <si>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</si>
  <si>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</si>
  <si>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</si>
  <si>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</si>
  <si>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</si>
  <si>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</si>
  <si>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</si>
  <si>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</si>
  <si>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</si>
  <si>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</si>
  <si>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</si>
  <si>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</si>
  <si>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</si>
  <si>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</si>
  <si>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</si>
  <si>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</si>
  <si>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</si>
  <si>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</si>
  <si>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</si>
  <si>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</si>
  <si>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</si>
  <si>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</si>
  <si>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</si>
  <si>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</si>
  <si>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</si>
  <si>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</si>
  <si>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</si>
  <si>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</si>
  <si>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</si>
  <si>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</si>
  <si>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</si>
  <si>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</si>
  <si>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</si>
  <si>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</si>
  <si>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</si>
  <si>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</si>
  <si>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</si>
  <si>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</si>
  <si>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</si>
  <si>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</si>
  <si>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</si>
  <si>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</si>
  <si>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</si>
  <si>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Row Labels</t>
  </si>
  <si>
    <t>Grand Total</t>
  </si>
  <si>
    <t>Call Count</t>
  </si>
  <si>
    <t>Total Amount</t>
  </si>
  <si>
    <t>Total duration</t>
  </si>
  <si>
    <t>Avg Rating</t>
  </si>
  <si>
    <t>5* Calls</t>
  </si>
  <si>
    <t>Jan</t>
  </si>
  <si>
    <t>Feb</t>
  </si>
  <si>
    <t>Mar</t>
  </si>
  <si>
    <t>Apr</t>
  </si>
  <si>
    <t>May</t>
  </si>
  <si>
    <t>Jun</t>
  </si>
  <si>
    <t>Jul</t>
  </si>
  <si>
    <t>Aug</t>
  </si>
  <si>
    <t>Sep</t>
  </si>
  <si>
    <t>Oct</t>
  </si>
  <si>
    <t>Nov</t>
  </si>
  <si>
    <t>Dec</t>
  </si>
  <si>
    <t>Call Count2</t>
  </si>
  <si>
    <t>Wednesday</t>
  </si>
  <si>
    <t>Thursday</t>
  </si>
  <si>
    <t>Friday</t>
  </si>
  <si>
    <t>Saturday</t>
  </si>
  <si>
    <t>Sunday</t>
  </si>
  <si>
    <t>Monday</t>
  </si>
  <si>
    <t>Tuesday</t>
  </si>
  <si>
    <t>For Graph</t>
  </si>
  <si>
    <t>Rep</t>
  </si>
  <si>
    <t>Calls</t>
  </si>
  <si>
    <t>Amount</t>
  </si>
  <si>
    <t>Sel. Calls</t>
  </si>
  <si>
    <t>Sel. Amount</t>
  </si>
  <si>
    <t>Selected Rep</t>
  </si>
  <si>
    <t>Column Labels</t>
  </si>
  <si>
    <t>Rep Summary</t>
  </si>
  <si>
    <t>% of calls</t>
  </si>
  <si>
    <t>Call Rank</t>
  </si>
  <si>
    <t>Amount Rank</t>
  </si>
  <si>
    <t>Labels</t>
  </si>
  <si>
    <t>Mrs. Tina</t>
  </si>
  <si>
    <t>Mrs.Rita</t>
  </si>
  <si>
    <t>Mrs.Hima</t>
  </si>
  <si>
    <t>Mr. Mahesh</t>
  </si>
  <si>
    <t>Mr. Rakesh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</si>
</sst>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quot;₹&quot;\ #,##0;#,##0\ \-&quot;₹&quot;;&quot;₹&quot;\ #,##0"/>
    <numFmt numFmtId="166" formatCode="0.0"/>
    <numFmt numFmtId="167" formatCode="\ &quot;₹&quot;#,###.0,&quot;k&quot;"/>
    <numFmt numFmtId="168" formatCode="&quot;₹&quot;\ #,##0"/>
    <numFmt numFmtId="169" formatCode="&quot;₹&quot;\ #,##0;#,##0\ \-&quot;₹&quot;;&quot;₹&quot;\ #,##0"/>
  </numFmts>
  <fonts count="7" x14ac:knownFonts="1">
    <font>
      <sz val="11"/>
      <color theme="1"/>
      <name val="Arial"/>
      <family val="2"/>
      <scheme val="minor"/>
    </font>
    <font>
      <b/>
      <sz val="11"/>
      <color theme="1"/>
      <name val="Arial"/>
      <family val="2"/>
      <scheme val="minor"/>
    </font>
    <font>
      <sz val="8"/>
      <name val="Arial"/>
      <family val="2"/>
      <scheme val="minor"/>
    </font>
    <font>
      <sz val="18"/>
      <color theme="1"/>
      <name val="Aptos ExtraBold"/>
      <family val="2"/>
    </font>
    <font>
      <sz val="11"/>
      <color theme="1"/>
      <name val="Arial"/>
      <family val="2"/>
      <scheme val="minor"/>
    </font>
    <font>
      <sz val="10"/>
      <color theme="1"/>
      <name val="Arial"/>
      <family val="2"/>
      <scheme val="minor"/>
    </font>
    <font>
      <b/>
      <sz val="10"/>
      <color theme="1"/>
      <name val="Arial"/>
      <family val="2"/>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tint="0.39997558519241921"/>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2">
    <xf numFmtId="0" fontId="0" fillId="0" borderId="0"/>
    <xf numFmtId="9" fontId="4" fillId="0" borderId="0" applyFont="0" applyFill="0" applyBorder="0" applyAlignment="0" applyProtection="0"/>
  </cellStyleXfs>
  <cellXfs count="48">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0" fontId="0" fillId="0" borderId="0" xfId="0" pivotButton="1"/>
    <xf numFmtId="0" fontId="0" fillId="0" borderId="0" xfId="0" applyAlignment="1">
      <alignment horizontal="left"/>
    </xf>
    <xf numFmtId="3" fontId="0" fillId="0" borderId="0" xfId="0" applyNumberFormat="1"/>
    <xf numFmtId="165" fontId="0" fillId="0" borderId="0" xfId="0" applyNumberFormat="1"/>
    <xf numFmtId="166" fontId="0" fillId="0" borderId="0" xfId="0" applyNumberFormat="1"/>
    <xf numFmtId="0" fontId="0" fillId="4" borderId="0" xfId="0" applyFill="1" applyAlignment="1">
      <alignment horizontal="left"/>
    </xf>
    <xf numFmtId="0" fontId="0" fillId="0" borderId="0" xfId="0" applyAlignment="1">
      <alignment horizontal="left" indent="1"/>
    </xf>
    <xf numFmtId="167" fontId="0" fillId="0" borderId="0" xfId="0" applyNumberFormat="1"/>
    <xf numFmtId="0" fontId="5" fillId="5" borderId="10" xfId="0" applyFont="1" applyFill="1" applyBorder="1"/>
    <xf numFmtId="0" fontId="5" fillId="5" borderId="0" xfId="0" applyFont="1" applyFill="1"/>
    <xf numFmtId="0" fontId="5" fillId="5" borderId="14" xfId="0" applyFont="1" applyFill="1" applyBorder="1"/>
    <xf numFmtId="0" fontId="5" fillId="5" borderId="13" xfId="0" applyFont="1" applyFill="1" applyBorder="1" applyAlignment="1">
      <alignment horizontal="left" indent="1"/>
    </xf>
    <xf numFmtId="168" fontId="5" fillId="5" borderId="0" xfId="0" applyNumberFormat="1" applyFont="1" applyFill="1"/>
    <xf numFmtId="168" fontId="5" fillId="5" borderId="14" xfId="0" applyNumberFormat="1" applyFont="1" applyFill="1" applyBorder="1"/>
    <xf numFmtId="0" fontId="5" fillId="5" borderId="15" xfId="0" applyFont="1" applyFill="1" applyBorder="1" applyAlignment="1">
      <alignment horizontal="left" indent="1"/>
    </xf>
    <xf numFmtId="168" fontId="5" fillId="5" borderId="16" xfId="0" applyNumberFormat="1" applyFont="1" applyFill="1" applyBorder="1"/>
    <xf numFmtId="168" fontId="5" fillId="5" borderId="17" xfId="0" applyNumberFormat="1" applyFont="1" applyFill="1" applyBorder="1"/>
    <xf numFmtId="0" fontId="6" fillId="5" borderId="11" xfId="0" applyFont="1" applyFill="1" applyBorder="1"/>
    <xf numFmtId="0" fontId="6" fillId="5" borderId="12" xfId="0" applyFont="1" applyFill="1" applyBorder="1"/>
    <xf numFmtId="0" fontId="6" fillId="5" borderId="13" xfId="0" applyFont="1" applyFill="1" applyBorder="1"/>
    <xf numFmtId="9" fontId="0" fillId="0" borderId="0" xfId="1" applyFont="1"/>
    <xf numFmtId="0" fontId="0" fillId="3" borderId="14" xfId="0" applyFill="1" applyBorder="1"/>
    <xf numFmtId="0" fontId="0" fillId="3" borderId="0" xfId="0" applyFill="1" applyAlignment="1">
      <alignment horizontal="center" vertical="center"/>
    </xf>
    <xf numFmtId="0" fontId="0" fillId="3" borderId="14" xfId="0" applyFill="1" applyBorder="1" applyAlignment="1">
      <alignment horizontal="center" vertical="center"/>
    </xf>
    <xf numFmtId="0" fontId="1" fillId="3" borderId="0" xfId="0" applyFont="1" applyFill="1" applyAlignment="1">
      <alignment horizontal="center" vertical="center"/>
    </xf>
    <xf numFmtId="0" fontId="1" fillId="3" borderId="14" xfId="0" applyFont="1" applyFill="1" applyBorder="1" applyAlignment="1">
      <alignment horizontal="center" vertical="center"/>
    </xf>
    <xf numFmtId="169" fontId="0" fillId="0" borderId="0" xfId="0" applyNumberFormat="1"/>
  </cellXfs>
  <cellStyles count="2">
    <cellStyle name="Normal" xfId="0" builtinId="0"/>
    <cellStyle name="Percent" xfId="1" builtinId="5"/>
  </cellStyles>
  <dxfs count="22">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5"/>
        </patternFill>
      </fill>
      <border>
        <left style="thin">
          <color auto="1"/>
        </left>
        <right style="thin">
          <color auto="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rial"/>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tint="0.39997558519241921"/>
        </patternFill>
      </fill>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1"/>
    </tableStyle>
    <tableStyle name="SlicerStyleDark2 2" pivot="0" table="0" count="10" xr9:uid="{FB3A0D1C-1332-4712-967F-893E83F9EA00}">
      <tableStyleElement type="wholeTable" dxfId="20"/>
      <tableStyleElement type="headerRow" dxfId="1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proj.xlsx]pivots!weekday trend</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484660728884311E-2"/>
          <c:y val="6.4922031804847929E-2"/>
          <c:w val="0.54258871937882769"/>
          <c:h val="0.88042275965504313"/>
        </c:manualLayout>
      </c:layout>
      <c:barChart>
        <c:barDir val="bar"/>
        <c:grouping val="clustered"/>
        <c:varyColors val="0"/>
        <c:ser>
          <c:idx val="0"/>
          <c:order val="0"/>
          <c:tx>
            <c:strRef>
              <c:f>pivots!$F$21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pivots!$E$22:$E$29</c:f>
              <c:strCache>
                <c:ptCount val="7"/>
                <c:pt idx="0">
                  <c:v>Sunday</c:v>
                </c:pt>
                <c:pt idx="1">
                  <c:v>Monday</c:v>
                </c:pt>
                <c:pt idx="2">
                  <c:v>Tuesday</c:v>
                </c:pt>
                <c:pt idx="3">
                  <c:v>Wednesday</c:v>
                </c:pt>
                <c:pt idx="4">
                  <c:v>Thursday</c:v>
                </c:pt>
                <c:pt idx="5">
                  <c:v>Friday</c:v>
                </c:pt>
                <c:pt idx="6">
                  <c:v>Saturday</c:v>
                </c:pt>
              </c:strCache>
            </c:strRef>
          </c:cat>
          <c:val>
            <c:numRef>
              <c:f>pivots!$F$22:$F$29</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25F0-4364-9C9C-10E6ACB91CC6}"/>
            </c:ext>
          </c:extLst>
        </c:ser>
        <c:dLbls>
          <c:dLblPos val="outEnd"/>
          <c:showLegendKey val="0"/>
          <c:showVal val="1"/>
          <c:showCatName val="0"/>
          <c:showSerName val="0"/>
          <c:showPercent val="0"/>
          <c:showBubbleSize val="0"/>
        </c:dLbls>
        <c:gapWidth val="25"/>
        <c:axId val="2059430336"/>
        <c:axId val="2059432736"/>
      </c:barChart>
      <c:catAx>
        <c:axId val="20594303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432736"/>
        <c:crosses val="autoZero"/>
        <c:auto val="1"/>
        <c:lblAlgn val="ctr"/>
        <c:lblOffset val="100"/>
        <c:noMultiLvlLbl val="0"/>
      </c:catAx>
      <c:valAx>
        <c:axId val="2059432736"/>
        <c:scaling>
          <c:orientation val="minMax"/>
        </c:scaling>
        <c:delete val="1"/>
        <c:axPos val="b"/>
        <c:numFmt formatCode="#,##0" sourceLinked="1"/>
        <c:majorTickMark val="out"/>
        <c:minorTickMark val="none"/>
        <c:tickLblPos val="nextTo"/>
        <c:crossAx val="205943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proj.xlsx]pivots!monthly trend</c:name>
    <c:fmtId val="7"/>
  </c:pivotSource>
  <c:chart>
    <c:title>
      <c:tx>
        <c:rich>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r>
              <a:rPr lang="en-IN" sz="1400" b="1">
                <a:solidFill>
                  <a:schemeClr val="tx2">
                    <a:lumMod val="75000"/>
                  </a:schemeClr>
                </a:solidFill>
              </a:rPr>
              <a:t>Call</a:t>
            </a:r>
            <a:r>
              <a:rPr lang="en-IN" sz="1400" b="1" baseline="0">
                <a:solidFill>
                  <a:schemeClr val="tx2">
                    <a:lumMod val="75000"/>
                  </a:schemeClr>
                </a:solidFill>
              </a:rPr>
              <a:t> Trend</a:t>
            </a:r>
            <a:endParaRPr lang="en-IN" sz="1400" b="1">
              <a:solidFill>
                <a:schemeClr val="tx2">
                  <a:lumMod val="75000"/>
                </a:schemeClr>
              </a:solidFill>
            </a:endParaRPr>
          </a:p>
        </c:rich>
      </c:tx>
      <c:layout>
        <c:manualLayout>
          <c:xMode val="edge"/>
          <c:yMode val="edge"/>
          <c:x val="2.8545086525201314E-2"/>
          <c:y val="3.66300366300366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40000"/>
                  <a:lumOff val="60000"/>
                </a:schemeClr>
              </a:gs>
              <a:gs pos="100000">
                <a:schemeClr val="accent1">
                  <a:lumMod val="75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75000"/>
              </a:schemeClr>
            </a:solidFill>
            <a:round/>
          </a:ln>
          <a:effectLst/>
        </c:spPr>
        <c:marker>
          <c:symbol val="circle"/>
          <c:size val="7"/>
          <c:spPr>
            <a:solidFill>
              <a:schemeClr val="bg1"/>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pivots!$C$21</c:f>
              <c:strCache>
                <c:ptCount val="1"/>
                <c:pt idx="0">
                  <c:v>Call Count2</c:v>
                </c:pt>
              </c:strCache>
            </c:strRef>
          </c:tx>
          <c:spPr>
            <a:gradFill flip="none" rotWithShape="1">
              <a:gsLst>
                <a:gs pos="0">
                  <a:schemeClr val="accent1">
                    <a:lumMod val="40000"/>
                    <a:lumOff val="60000"/>
                  </a:schemeClr>
                </a:gs>
                <a:gs pos="100000">
                  <a:schemeClr val="accent1">
                    <a:lumMod val="75000"/>
                  </a:schemeClr>
                </a:gs>
              </a:gsLst>
              <a:lin ang="16200000" scaled="1"/>
              <a:tileRect/>
            </a:gradFill>
            <a:ln>
              <a:noFill/>
            </a:ln>
            <a:effectLst/>
          </c:spPr>
          <c:cat>
            <c:strRef>
              <c:f>pivots!$A$22:$A$34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pivots!$C$22:$C$34</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8704-480B-9D73-602443F3393C}"/>
            </c:ext>
          </c:extLst>
        </c:ser>
        <c:dLbls>
          <c:showLegendKey val="0"/>
          <c:showVal val="0"/>
          <c:showCatName val="0"/>
          <c:showSerName val="0"/>
          <c:showPercent val="0"/>
          <c:showBubbleSize val="0"/>
        </c:dLbls>
        <c:axId val="1011735056"/>
        <c:axId val="1011751856"/>
      </c:areaChart>
      <c:lineChart>
        <c:grouping val="standard"/>
        <c:varyColors val="0"/>
        <c:ser>
          <c:idx val="0"/>
          <c:order val="0"/>
          <c:tx>
            <c:strRef>
              <c:f>pivots!$B$21</c:f>
              <c:strCache>
                <c:ptCount val="1"/>
                <c:pt idx="0">
                  <c:v>Call Count</c:v>
                </c:pt>
              </c:strCache>
            </c:strRef>
          </c:tx>
          <c:spPr>
            <a:ln w="28575" cap="rnd">
              <a:solidFill>
                <a:schemeClr val="accent1">
                  <a:lumMod val="75000"/>
                </a:schemeClr>
              </a:solidFill>
              <a:round/>
            </a:ln>
            <a:effectLst/>
          </c:spPr>
          <c:marker>
            <c:symbol val="circle"/>
            <c:size val="7"/>
            <c:spPr>
              <a:solidFill>
                <a:schemeClr val="bg1"/>
              </a:solidFill>
              <a:ln w="25400">
                <a:solidFill>
                  <a:schemeClr val="tx1"/>
                </a:solidFill>
              </a:ln>
              <a:effectLst/>
            </c:spPr>
          </c:marker>
          <c:cat>
            <c:strRef>
              <c:f>pivots!$A$22:$A$34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pivots!$B$22:$B$34</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8704-480B-9D73-602443F3393C}"/>
            </c:ext>
          </c:extLst>
        </c:ser>
        <c:dLbls>
          <c:showLegendKey val="0"/>
          <c:showVal val="0"/>
          <c:showCatName val="0"/>
          <c:showSerName val="0"/>
          <c:showPercent val="0"/>
          <c:showBubbleSize val="0"/>
        </c:dLbls>
        <c:marker val="1"/>
        <c:smooth val="0"/>
        <c:axId val="1011735056"/>
        <c:axId val="1011751856"/>
      </c:lineChart>
      <c:catAx>
        <c:axId val="101173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751856"/>
        <c:crosses val="autoZero"/>
        <c:auto val="1"/>
        <c:lblAlgn val="ctr"/>
        <c:lblOffset val="100"/>
        <c:noMultiLvlLbl val="0"/>
      </c:catAx>
      <c:valAx>
        <c:axId val="1011751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73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solidFill>
                  <a:schemeClr val="tx2">
                    <a:lumMod val="75000"/>
                  </a:schemeClr>
                </a:solidFill>
              </a:defRPr>
            </a:pPr>
            <a:r>
              <a:rPr lang="en-IN" sz="1400">
                <a:solidFill>
                  <a:schemeClr val="tx2">
                    <a:lumMod val="75000"/>
                  </a:schemeClr>
                </a:solidFill>
              </a:rPr>
              <a:t>Calls</a:t>
            </a:r>
          </a:p>
        </c:rich>
      </c:tx>
      <c:layout>
        <c:manualLayout>
          <c:xMode val="edge"/>
          <c:yMode val="edge"/>
          <c:x val="4.4873776403915516E-2"/>
          <c:y val="4.3923865300146414E-2"/>
        </c:manualLayout>
      </c:layout>
      <c:overlay val="0"/>
    </c:title>
    <c:autoTitleDeleted val="0"/>
    <c:plotArea>
      <c:layout/>
      <c:barChart>
        <c:barDir val="bar"/>
        <c:grouping val="clustered"/>
        <c:varyColors val="0"/>
        <c:ser>
          <c:idx val="0"/>
          <c:order val="0"/>
          <c:spPr>
            <a:solidFill>
              <a:schemeClr val="bg1">
                <a:lumMod val="95000"/>
              </a:schemeClr>
            </a:solidFill>
            <a:ln>
              <a:noFill/>
            </a:ln>
            <a:effectLst/>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pivots!$E$41:$E$45</c:f>
              <c:strCache>
                <c:ptCount val="5"/>
                <c:pt idx="0">
                  <c:v>R01</c:v>
                </c:pt>
                <c:pt idx="1">
                  <c:v>R02</c:v>
                </c:pt>
                <c:pt idx="2">
                  <c:v>R03</c:v>
                </c:pt>
                <c:pt idx="3">
                  <c:v>R04</c:v>
                </c:pt>
                <c:pt idx="4">
                  <c:v>R05</c:v>
                </c:pt>
              </c:strCache>
            </c:strRef>
          </c:cat>
          <c:val>
            <c:numRef>
              <c:f>pivots!$F$41:$F$45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BA24-4EB0-9B1E-87A95D9FF74B}"/>
            </c:ext>
          </c:extLst>
        </c:ser>
        <c:ser>
          <c:idx val="1"/>
          <c:order val="1"/>
          <c:tx>
            <c:strRef>
              <c:f>pivots!$H$40</c:f>
              <c:strCache>
                <c:ptCount val="1"/>
                <c:pt idx="0">
                  <c:v>Sel. Calls</c:v>
                </c:pt>
              </c:strCache>
            </c:strRef>
          </c:tx>
          <c:spPr>
            <a:gradFill flip="none" rotWithShape="1">
              <a:gsLst>
                <a:gs pos="0">
                  <a:schemeClr val="accent2">
                    <a:lumMod val="40000"/>
                    <a:lumOff val="60000"/>
                  </a:schemeClr>
                </a:gs>
                <a:gs pos="100000">
                  <a:schemeClr val="accent2">
                    <a:lumMod val="75000"/>
                  </a:schemeClr>
                </a:gs>
              </a:gsLst>
              <a:lin ang="0" scaled="1"/>
              <a:tileRect/>
            </a:gradFill>
          </c:spPr>
          <c:invertIfNegative val="0"/>
          <c:dLbls>
            <c:delete val="1"/>
          </c:dLbls>
          <c:val>
            <c:numRef>
              <c:f>pivots!$H$41:$H$45</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BA24-4EB0-9B1E-87A95D9FF74B}"/>
            </c:ext>
          </c:extLst>
        </c:ser>
        <c:dLbls>
          <c:dLblPos val="outEnd"/>
          <c:showLegendKey val="0"/>
          <c:showVal val="1"/>
          <c:showCatName val="0"/>
          <c:showSerName val="0"/>
          <c:showPercent val="0"/>
          <c:showBubbleSize val="0"/>
        </c:dLbls>
        <c:gapWidth val="25"/>
        <c:overlap val="100"/>
        <c:axId val="77441120"/>
        <c:axId val="77450240"/>
      </c:barChart>
      <c:catAx>
        <c:axId val="774411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50240"/>
        <c:crosses val="autoZero"/>
        <c:auto val="1"/>
        <c:lblAlgn val="ctr"/>
        <c:lblOffset val="100"/>
        <c:noMultiLvlLbl val="0"/>
      </c:catAx>
      <c:valAx>
        <c:axId val="77450240"/>
        <c:scaling>
          <c:orientation val="minMax"/>
          <c:min val="0"/>
        </c:scaling>
        <c:delete val="1"/>
        <c:axPos val="t"/>
        <c:numFmt formatCode="General" sourceLinked="1"/>
        <c:majorTickMark val="none"/>
        <c:minorTickMark val="none"/>
        <c:tickLblPos val="nextTo"/>
        <c:crossAx val="77441120"/>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solidFill>
                  <a:schemeClr val="tx2">
                    <a:lumMod val="75000"/>
                  </a:schemeClr>
                </a:solidFill>
              </a:defRPr>
            </a:pPr>
            <a:r>
              <a:rPr lang="en-IN" sz="1400">
                <a:solidFill>
                  <a:schemeClr val="tx2">
                    <a:lumMod val="75000"/>
                  </a:schemeClr>
                </a:solidFill>
              </a:rPr>
              <a:t>Amount</a:t>
            </a:r>
          </a:p>
        </c:rich>
      </c:tx>
      <c:layout>
        <c:manualLayout>
          <c:xMode val="edge"/>
          <c:yMode val="edge"/>
          <c:x val="6.7347651255131577E-2"/>
          <c:y val="2.9239766081871343E-2"/>
        </c:manualLayout>
      </c:layout>
      <c:overlay val="0"/>
    </c:title>
    <c:autoTitleDeleted val="0"/>
    <c:plotArea>
      <c:layout/>
      <c:barChart>
        <c:barDir val="bar"/>
        <c:grouping val="clustered"/>
        <c:varyColors val="0"/>
        <c:ser>
          <c:idx val="0"/>
          <c:order val="0"/>
          <c:spPr>
            <a:solidFill>
              <a:schemeClr val="bg1">
                <a:lumMod val="95000"/>
              </a:schemeClr>
            </a:solidFill>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pivots!$E$41:$E$45</c:f>
              <c:strCache>
                <c:ptCount val="5"/>
                <c:pt idx="0">
                  <c:v>R01</c:v>
                </c:pt>
                <c:pt idx="1">
                  <c:v>R02</c:v>
                </c:pt>
                <c:pt idx="2">
                  <c:v>R03</c:v>
                </c:pt>
                <c:pt idx="3">
                  <c:v>R04</c:v>
                </c:pt>
                <c:pt idx="4">
                  <c:v>R05</c:v>
                </c:pt>
              </c:strCache>
            </c:strRef>
          </c:cat>
          <c:val>
            <c:numRef>
              <c:f>pivots!$G$41:$G$45</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DD1-4682-A4CD-F05128E150A6}"/>
            </c:ext>
          </c:extLst>
        </c:ser>
        <c:ser>
          <c:idx val="1"/>
          <c:order val="1"/>
          <c:tx>
            <c:strRef>
              <c:f>pivots!$I$40</c:f>
              <c:strCache>
                <c:ptCount val="1"/>
                <c:pt idx="0">
                  <c:v>Sel. Amount</c:v>
                </c:pt>
              </c:strCache>
            </c:strRef>
          </c:tx>
          <c:spPr>
            <a:gradFill flip="none" rotWithShape="1">
              <a:gsLst>
                <a:gs pos="0">
                  <a:schemeClr val="tx2">
                    <a:lumMod val="40000"/>
                    <a:lumOff val="60000"/>
                  </a:schemeClr>
                </a:gs>
                <a:gs pos="100000">
                  <a:schemeClr val="tx2">
                    <a:lumMod val="60000"/>
                    <a:lumOff val="40000"/>
                  </a:schemeClr>
                </a:gs>
              </a:gsLst>
              <a:lin ang="0" scaled="1"/>
              <a:tileRect/>
            </a:gradFill>
          </c:spPr>
          <c:invertIfNegative val="0"/>
          <c:dPt>
            <c:idx val="1"/>
            <c:invertIfNegative val="0"/>
            <c:bubble3D val="0"/>
            <c:spPr>
              <a:gradFill flip="none" rotWithShape="1">
                <a:gsLst>
                  <a:gs pos="0">
                    <a:schemeClr val="tx2">
                      <a:lumMod val="40000"/>
                      <a:lumOff val="60000"/>
                    </a:schemeClr>
                  </a:gs>
                  <a:gs pos="100000">
                    <a:schemeClr val="tx2">
                      <a:lumMod val="60000"/>
                      <a:lumOff val="40000"/>
                    </a:schemeClr>
                  </a:gs>
                </a:gsLst>
                <a:lin ang="0" scaled="1"/>
                <a:tileRect/>
              </a:gradFill>
            </c:spPr>
            <c:extLst>
              <c:ext xmlns:c16="http://schemas.microsoft.com/office/drawing/2014/chart" uri="{C3380CC4-5D6E-409C-BE32-E72D297353CC}">
                <c16:uniqueId val="{00000002-CDD1-4682-A4CD-F05128E150A6}"/>
              </c:ext>
            </c:extLst>
          </c:dPt>
          <c:dLbls>
            <c:delete val="1"/>
          </c:dLbls>
          <c:val>
            <c:numRef>
              <c:f>pivots!$I$41:$I$45</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3-CDD1-4682-A4CD-F05128E150A6}"/>
            </c:ext>
          </c:extLst>
        </c:ser>
        <c:dLbls>
          <c:dLblPos val="outEnd"/>
          <c:showLegendKey val="0"/>
          <c:showVal val="1"/>
          <c:showCatName val="0"/>
          <c:showSerName val="0"/>
          <c:showPercent val="0"/>
          <c:showBubbleSize val="0"/>
        </c:dLbls>
        <c:gapWidth val="25"/>
        <c:overlap val="100"/>
        <c:axId val="77441120"/>
        <c:axId val="77450240"/>
      </c:barChart>
      <c:catAx>
        <c:axId val="77441120"/>
        <c:scaling>
          <c:orientation val="maxMin"/>
        </c:scaling>
        <c:delete val="1"/>
        <c:axPos val="l"/>
        <c:numFmt formatCode="General" sourceLinked="1"/>
        <c:majorTickMark val="none"/>
        <c:minorTickMark val="none"/>
        <c:tickLblPos val="nextTo"/>
        <c:crossAx val="77450240"/>
        <c:crosses val="autoZero"/>
        <c:auto val="1"/>
        <c:lblAlgn val="ctr"/>
        <c:lblOffset val="100"/>
        <c:noMultiLvlLbl val="0"/>
      </c:catAx>
      <c:valAx>
        <c:axId val="77450240"/>
        <c:scaling>
          <c:orientation val="minMax"/>
        </c:scaling>
        <c:delete val="1"/>
        <c:axPos val="t"/>
        <c:numFmt formatCode="\ &quot;₹&quot;#,###.0,&quot;k&quot;" sourceLinked="1"/>
        <c:majorTickMark val="none"/>
        <c:minorTickMark val="none"/>
        <c:tickLblPos val="nextTo"/>
        <c:crossAx val="77441120"/>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proj.xlsx]pivots!PivotTable1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lumMod val="60000"/>
                    <a:lumOff val="40000"/>
                  </a:schemeClr>
                </a:solidFill>
              </a:rPr>
              <a:t>Female</a:t>
            </a:r>
            <a:r>
              <a:rPr lang="en-IN" b="1" baseline="0">
                <a:solidFill>
                  <a:schemeClr val="tx2">
                    <a:lumMod val="75000"/>
                  </a:schemeClr>
                </a:solidFill>
              </a:rPr>
              <a:t> vs. </a:t>
            </a:r>
            <a:r>
              <a:rPr lang="en-IN" b="1" baseline="0">
                <a:solidFill>
                  <a:schemeClr val="accent2"/>
                </a:solidFill>
              </a:rPr>
              <a:t>Male</a:t>
            </a:r>
            <a:r>
              <a:rPr lang="en-IN" b="1" baseline="0">
                <a:solidFill>
                  <a:schemeClr val="tx2">
                    <a:lumMod val="75000"/>
                  </a:schemeClr>
                </a:solidFill>
              </a:rPr>
              <a:t> Callers</a:t>
            </a:r>
            <a:endParaRPr lang="en-IN" b="1">
              <a:solidFill>
                <a:schemeClr val="tx2">
                  <a:lumMod val="75000"/>
                </a:schemeClr>
              </a:solidFill>
            </a:endParaRPr>
          </a:p>
        </c:rich>
      </c:tx>
      <c:layout>
        <c:manualLayout>
          <c:xMode val="edge"/>
          <c:yMode val="edge"/>
          <c:x val="0.11475429948027036"/>
          <c:y val="4.25790754257907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60000"/>
              <a:lumOff val="40000"/>
            </a:schemeClr>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pivots!$B$60:$B$61</c:f>
              <c:strCache>
                <c:ptCount val="1"/>
                <c:pt idx="0">
                  <c:v>Female</c:v>
                </c:pt>
              </c:strCache>
            </c:strRef>
          </c:tx>
          <c:spPr>
            <a:solidFill>
              <a:schemeClr val="tx2">
                <a:lumMod val="60000"/>
                <a:lumOff val="40000"/>
              </a:schemeClr>
            </a:solidFill>
            <a:ln>
              <a:noFill/>
            </a:ln>
            <a:effectLst/>
          </c:spPr>
          <c:invertIfNegative val="0"/>
          <c:dLbls>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pivots!$A$62:$A$65</c:f>
              <c:strCache>
                <c:ptCount val="3"/>
                <c:pt idx="0">
                  <c:v>Cincinnati</c:v>
                </c:pt>
                <c:pt idx="1">
                  <c:v>Cleveland</c:v>
                </c:pt>
                <c:pt idx="2">
                  <c:v>Columbus</c:v>
                </c:pt>
              </c:strCache>
            </c:strRef>
          </c:cat>
          <c:val>
            <c:numRef>
              <c:f>pivots!$B$62:$B$65</c:f>
              <c:numCache>
                <c:formatCode>#,##0</c:formatCode>
                <c:ptCount val="3"/>
                <c:pt idx="0">
                  <c:v>144</c:v>
                </c:pt>
                <c:pt idx="1">
                  <c:v>326</c:v>
                </c:pt>
                <c:pt idx="2">
                  <c:v>129</c:v>
                </c:pt>
              </c:numCache>
            </c:numRef>
          </c:val>
          <c:extLst>
            <c:ext xmlns:c16="http://schemas.microsoft.com/office/drawing/2014/chart" uri="{C3380CC4-5D6E-409C-BE32-E72D297353CC}">
              <c16:uniqueId val="{00000000-32AB-4C31-AA77-CED10635F52B}"/>
            </c:ext>
          </c:extLst>
        </c:ser>
        <c:ser>
          <c:idx val="1"/>
          <c:order val="1"/>
          <c:tx>
            <c:strRef>
              <c:f>pivots!$C$60:$C$61</c:f>
              <c:strCache>
                <c:ptCount val="1"/>
                <c:pt idx="0">
                  <c:v>Male</c:v>
                </c:pt>
              </c:strCache>
            </c:strRef>
          </c:tx>
          <c:spPr>
            <a:solidFill>
              <a:schemeClr val="accent2"/>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pivots!$A$62:$A$65</c:f>
              <c:strCache>
                <c:ptCount val="3"/>
                <c:pt idx="0">
                  <c:v>Cincinnati</c:v>
                </c:pt>
                <c:pt idx="1">
                  <c:v>Cleveland</c:v>
                </c:pt>
                <c:pt idx="2">
                  <c:v>Columbus</c:v>
                </c:pt>
              </c:strCache>
            </c:strRef>
          </c:cat>
          <c:val>
            <c:numRef>
              <c:f>pivots!$C$62:$C$65</c:f>
              <c:numCache>
                <c:formatCode>#,##0</c:formatCode>
                <c:ptCount val="3"/>
                <c:pt idx="0">
                  <c:v>132</c:v>
                </c:pt>
                <c:pt idx="1">
                  <c:v>63</c:v>
                </c:pt>
                <c:pt idx="2">
                  <c:v>206</c:v>
                </c:pt>
              </c:numCache>
            </c:numRef>
          </c:val>
          <c:extLst>
            <c:ext xmlns:c16="http://schemas.microsoft.com/office/drawing/2014/chart" uri="{C3380CC4-5D6E-409C-BE32-E72D297353CC}">
              <c16:uniqueId val="{00000001-32AB-4C31-AA77-CED10635F52B}"/>
            </c:ext>
          </c:extLst>
        </c:ser>
        <c:dLbls>
          <c:dLblPos val="ctr"/>
          <c:showLegendKey val="0"/>
          <c:showVal val="1"/>
          <c:showCatName val="0"/>
          <c:showSerName val="0"/>
          <c:showPercent val="0"/>
          <c:showBubbleSize val="0"/>
        </c:dLbls>
        <c:gapWidth val="25"/>
        <c:overlap val="100"/>
        <c:axId val="545886640"/>
        <c:axId val="545887600"/>
      </c:barChart>
      <c:catAx>
        <c:axId val="54588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887600"/>
        <c:crosses val="autoZero"/>
        <c:auto val="1"/>
        <c:lblAlgn val="ctr"/>
        <c:lblOffset val="100"/>
        <c:noMultiLvlLbl val="0"/>
      </c:catAx>
      <c:valAx>
        <c:axId val="545887600"/>
        <c:scaling>
          <c:orientation val="minMax"/>
        </c:scaling>
        <c:delete val="1"/>
        <c:axPos val="l"/>
        <c:numFmt formatCode="0%" sourceLinked="1"/>
        <c:majorTickMark val="none"/>
        <c:minorTickMark val="none"/>
        <c:tickLblPos val="nextTo"/>
        <c:crossAx val="54588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proj.xlsx]pivots!rep satisfaction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schemeClr>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pivots!$B$70</c:f>
              <c:strCache>
                <c:ptCount val="1"/>
                <c:pt idx="0">
                  <c:v>Total</c:v>
                </c:pt>
              </c:strCache>
            </c:strRef>
          </c:tx>
          <c:spPr>
            <a:solidFill>
              <a:schemeClr val="accent1">
                <a:lumMod val="75000"/>
              </a:schemeClr>
            </a:solidFill>
            <a:ln>
              <a:noFill/>
            </a:ln>
            <a:effectLst/>
          </c:spPr>
          <c:invertIfNegative val="0"/>
          <c:cat>
            <c:strRef>
              <c:f>pivots!$A$71:$A$77</c:f>
              <c:strCache>
                <c:ptCount val="6"/>
                <c:pt idx="0">
                  <c:v>0</c:v>
                </c:pt>
                <c:pt idx="1">
                  <c:v>1</c:v>
                </c:pt>
                <c:pt idx="2">
                  <c:v>2</c:v>
                </c:pt>
                <c:pt idx="3">
                  <c:v>3</c:v>
                </c:pt>
                <c:pt idx="4">
                  <c:v>4</c:v>
                </c:pt>
                <c:pt idx="5">
                  <c:v>5</c:v>
                </c:pt>
              </c:strCache>
            </c:strRef>
          </c:cat>
          <c:val>
            <c:numRef>
              <c:f>pivots!$B$71:$B$77</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828D-43F0-A381-FB2DA0773E33}"/>
            </c:ext>
          </c:extLst>
        </c:ser>
        <c:dLbls>
          <c:showLegendKey val="0"/>
          <c:showVal val="0"/>
          <c:showCatName val="0"/>
          <c:showSerName val="0"/>
          <c:showPercent val="0"/>
          <c:showBubbleSize val="0"/>
        </c:dLbls>
        <c:gapWidth val="10"/>
        <c:overlap val="-27"/>
        <c:axId val="1055522432"/>
        <c:axId val="1055521472"/>
      </c:barChart>
      <c:catAx>
        <c:axId val="105552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521472"/>
        <c:crosses val="autoZero"/>
        <c:auto val="1"/>
        <c:lblAlgn val="ctr"/>
        <c:lblOffset val="100"/>
        <c:noMultiLvlLbl val="0"/>
      </c:catAx>
      <c:valAx>
        <c:axId val="1055521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52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4</xdr:col>
      <xdr:colOff>190500</xdr:colOff>
      <xdr:row>15</xdr:row>
      <xdr:rowOff>99060</xdr:rowOff>
    </xdr:from>
    <xdr:to>
      <xdr:col>11</xdr:col>
      <xdr:colOff>594360</xdr:colOff>
      <xdr:row>30</xdr:row>
      <xdr:rowOff>45720</xdr:rowOff>
    </xdr:to>
    <xdr:sp macro="" textlink="">
      <xdr:nvSpPr>
        <xdr:cNvPr id="65" name="Rectangle 64">
          <a:extLst>
            <a:ext uri="{FF2B5EF4-FFF2-40B4-BE49-F238E27FC236}">
              <a16:creationId xmlns:a16="http://schemas.microsoft.com/office/drawing/2014/main" id="{2E283343-B72B-6D7F-DA63-BEE7FFB955DF}"/>
            </a:ext>
          </a:extLst>
        </xdr:cNvPr>
        <xdr:cNvSpPr/>
      </xdr:nvSpPr>
      <xdr:spPr>
        <a:xfrm>
          <a:off x="1897380" y="2727960"/>
          <a:ext cx="4632960" cy="2575560"/>
        </a:xfrm>
        <a:prstGeom prst="rect">
          <a:avLst/>
        </a:prstGeom>
        <a:solidFill>
          <a:schemeClr val="bg1"/>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396240</xdr:colOff>
      <xdr:row>3</xdr:row>
      <xdr:rowOff>99060</xdr:rowOff>
    </xdr:from>
    <xdr:to>
      <xdr:col>14</xdr:col>
      <xdr:colOff>274320</xdr:colOff>
      <xdr:row>13</xdr:row>
      <xdr:rowOff>76200</xdr:rowOff>
    </xdr:to>
    <xdr:graphicFrame macro="">
      <xdr:nvGraphicFramePr>
        <xdr:cNvPr id="61" name="Chart 60">
          <a:extLst>
            <a:ext uri="{FF2B5EF4-FFF2-40B4-BE49-F238E27FC236}">
              <a16:creationId xmlns:a16="http://schemas.microsoft.com/office/drawing/2014/main" id="{04B4EA4D-FA28-45C3-9A00-390C89205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152400</xdr:colOff>
      <xdr:row>3</xdr:row>
      <xdr:rowOff>7620</xdr:rowOff>
    </xdr:from>
    <xdr:to>
      <xdr:col>3</xdr:col>
      <xdr:colOff>594360</xdr:colOff>
      <xdr:row>7</xdr:row>
      <xdr:rowOff>76200</xdr:rowOff>
    </xdr:to>
    <xdr:sp macro="" textlink="pivots!A4">
      <xdr:nvSpPr>
        <xdr:cNvPr id="3" name="Rectangle 2">
          <a:extLst>
            <a:ext uri="{FF2B5EF4-FFF2-40B4-BE49-F238E27FC236}">
              <a16:creationId xmlns:a16="http://schemas.microsoft.com/office/drawing/2014/main" id="{03932541-ADEC-50BA-883E-4E44602EAA25}"/>
            </a:ext>
          </a:extLst>
        </xdr:cNvPr>
        <xdr:cNvSpPr/>
      </xdr:nvSpPr>
      <xdr:spPr>
        <a:xfrm>
          <a:off x="335280" y="533400"/>
          <a:ext cx="1295400" cy="76962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57BB932-0017-42F6-AC8C-76547F279533}" type="TxLink">
            <a:rPr lang="en-US" sz="2200" b="1" i="0" u="none" strike="noStrike">
              <a:solidFill>
                <a:schemeClr val="bg1"/>
              </a:solidFill>
              <a:effectLst>
                <a:outerShdw blurRad="254000" dist="127000" dir="2700000" algn="ctr" rotWithShape="0">
                  <a:srgbClr val="000000">
                    <a:alpha val="0"/>
                  </a:srgbClr>
                </a:outerShdw>
              </a:effectLst>
              <a:latin typeface="Arial"/>
              <a:cs typeface="Arial"/>
            </a:rPr>
            <a:pPr algn="ctr"/>
            <a:t>1,000</a:t>
          </a:fld>
          <a:endParaRPr lang="en-IN" sz="2200" b="1">
            <a:solidFill>
              <a:schemeClr val="bg1"/>
            </a:solidFill>
            <a:effectLst>
              <a:outerShdw blurRad="254000" dist="127000" dir="2700000" algn="ctr" rotWithShape="0">
                <a:srgbClr val="000000">
                  <a:alpha val="0"/>
                </a:srgbClr>
              </a:outerShdw>
            </a:effectLst>
          </a:endParaRPr>
        </a:p>
      </xdr:txBody>
    </xdr:sp>
    <xdr:clientData/>
  </xdr:twoCellAnchor>
  <xdr:twoCellAnchor>
    <xdr:from>
      <xdr:col>2</xdr:col>
      <xdr:colOff>167640</xdr:colOff>
      <xdr:row>3</xdr:row>
      <xdr:rowOff>30480</xdr:rowOff>
    </xdr:from>
    <xdr:to>
      <xdr:col>3</xdr:col>
      <xdr:colOff>434340</xdr:colOff>
      <xdr:row>4</xdr:row>
      <xdr:rowOff>38100</xdr:rowOff>
    </xdr:to>
    <xdr:sp macro="" textlink="">
      <xdr:nvSpPr>
        <xdr:cNvPr id="4" name="TextBox 3">
          <a:extLst>
            <a:ext uri="{FF2B5EF4-FFF2-40B4-BE49-F238E27FC236}">
              <a16:creationId xmlns:a16="http://schemas.microsoft.com/office/drawing/2014/main" id="{8C25C9DA-6655-B663-96FE-B3A15054D86C}"/>
            </a:ext>
          </a:extLst>
        </xdr:cNvPr>
        <xdr:cNvSpPr txBox="1"/>
      </xdr:nvSpPr>
      <xdr:spPr>
        <a:xfrm>
          <a:off x="533400" y="556260"/>
          <a:ext cx="93726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1">
                  <a:lumMod val="95000"/>
                </a:schemeClr>
              </a:solidFill>
            </a:rPr>
            <a:t>Calls</a:t>
          </a:r>
        </a:p>
      </xdr:txBody>
    </xdr:sp>
    <xdr:clientData/>
  </xdr:twoCellAnchor>
  <xdr:twoCellAnchor editAs="oneCell">
    <xdr:from>
      <xdr:col>2</xdr:col>
      <xdr:colOff>29071</xdr:colOff>
      <xdr:row>3</xdr:row>
      <xdr:rowOff>44729</xdr:rowOff>
    </xdr:from>
    <xdr:to>
      <xdr:col>2</xdr:col>
      <xdr:colOff>189839</xdr:colOff>
      <xdr:row>4</xdr:row>
      <xdr:rowOff>26337</xdr:rowOff>
    </xdr:to>
    <xdr:pic>
      <xdr:nvPicPr>
        <xdr:cNvPr id="5" name="Graphic 4" descr="Receiver with solid fill">
          <a:extLst>
            <a:ext uri="{FF2B5EF4-FFF2-40B4-BE49-F238E27FC236}">
              <a16:creationId xmlns:a16="http://schemas.microsoft.com/office/drawing/2014/main" id="{4D804199-B00C-4769-99E9-B74CFA6DB7F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001858">
          <a:off x="394831" y="570509"/>
          <a:ext cx="160768" cy="156868"/>
        </a:xfrm>
        <a:prstGeom prst="rect">
          <a:avLst/>
        </a:prstGeom>
      </xdr:spPr>
    </xdr:pic>
    <xdr:clientData/>
  </xdr:twoCellAnchor>
  <xdr:twoCellAnchor>
    <xdr:from>
      <xdr:col>2</xdr:col>
      <xdr:colOff>190500</xdr:colOff>
      <xdr:row>6</xdr:row>
      <xdr:rowOff>45720</xdr:rowOff>
    </xdr:from>
    <xdr:to>
      <xdr:col>3</xdr:col>
      <xdr:colOff>419100</xdr:colOff>
      <xdr:row>7</xdr:row>
      <xdr:rowOff>30480</xdr:rowOff>
    </xdr:to>
    <xdr:sp macro="" textlink="pivots!A11">
      <xdr:nvSpPr>
        <xdr:cNvPr id="6" name="TextBox 5">
          <a:extLst>
            <a:ext uri="{FF2B5EF4-FFF2-40B4-BE49-F238E27FC236}">
              <a16:creationId xmlns:a16="http://schemas.microsoft.com/office/drawing/2014/main" id="{BCBCDE92-E086-6ACE-67DC-16FF7335FD58}"/>
            </a:ext>
          </a:extLst>
        </xdr:cNvPr>
        <xdr:cNvSpPr txBox="1"/>
      </xdr:nvSpPr>
      <xdr:spPr>
        <a:xfrm>
          <a:off x="556260" y="1097280"/>
          <a:ext cx="89916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B1CA6F-658B-4E08-8090-F3D54ED150FF}" type="TxLink">
            <a:rPr lang="en-US" sz="1000" b="0" i="0" u="none" strike="noStrike">
              <a:solidFill>
                <a:schemeClr val="accent6">
                  <a:lumMod val="20000"/>
                  <a:lumOff val="80000"/>
                </a:schemeClr>
              </a:solidFill>
              <a:latin typeface="Arial"/>
              <a:cs typeface="Arial"/>
            </a:rPr>
            <a:pPr algn="ctr"/>
            <a:t>207</a:t>
          </a:fld>
          <a:endParaRPr lang="en-IN" sz="1000">
            <a:solidFill>
              <a:schemeClr val="accent6">
                <a:lumMod val="20000"/>
                <a:lumOff val="80000"/>
              </a:schemeClr>
            </a:solidFill>
          </a:endParaRPr>
        </a:p>
      </xdr:txBody>
    </xdr:sp>
    <xdr:clientData/>
  </xdr:twoCellAnchor>
  <xdr:twoCellAnchor>
    <xdr:from>
      <xdr:col>5</xdr:col>
      <xdr:colOff>198120</xdr:colOff>
      <xdr:row>6</xdr:row>
      <xdr:rowOff>53340</xdr:rowOff>
    </xdr:from>
    <xdr:to>
      <xdr:col>6</xdr:col>
      <xdr:colOff>464820</xdr:colOff>
      <xdr:row>7</xdr:row>
      <xdr:rowOff>60960</xdr:rowOff>
    </xdr:to>
    <xdr:sp macro="" textlink="">
      <xdr:nvSpPr>
        <xdr:cNvPr id="8" name="TextBox 7">
          <a:extLst>
            <a:ext uri="{FF2B5EF4-FFF2-40B4-BE49-F238E27FC236}">
              <a16:creationId xmlns:a16="http://schemas.microsoft.com/office/drawing/2014/main" id="{CC84090B-7AA0-4F49-B01C-401718A2B245}"/>
            </a:ext>
          </a:extLst>
        </xdr:cNvPr>
        <xdr:cNvSpPr txBox="1"/>
      </xdr:nvSpPr>
      <xdr:spPr>
        <a:xfrm>
          <a:off x="2575560" y="1104900"/>
          <a:ext cx="93726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1">
                  <a:lumMod val="95000"/>
                </a:schemeClr>
              </a:solidFill>
            </a:rPr>
            <a:t>Calls</a:t>
          </a:r>
        </a:p>
      </xdr:txBody>
    </xdr:sp>
    <xdr:clientData/>
  </xdr:twoCellAnchor>
  <xdr:twoCellAnchor>
    <xdr:from>
      <xdr:col>1</xdr:col>
      <xdr:colOff>160020</xdr:colOff>
      <xdr:row>8</xdr:row>
      <xdr:rowOff>137160</xdr:rowOff>
    </xdr:from>
    <xdr:to>
      <xdr:col>3</xdr:col>
      <xdr:colOff>601980</xdr:colOff>
      <xdr:row>13</xdr:row>
      <xdr:rowOff>30480</xdr:rowOff>
    </xdr:to>
    <xdr:sp macro="" textlink="pivots!B4">
      <xdr:nvSpPr>
        <xdr:cNvPr id="43" name="Rectangle 42">
          <a:extLst>
            <a:ext uri="{FF2B5EF4-FFF2-40B4-BE49-F238E27FC236}">
              <a16:creationId xmlns:a16="http://schemas.microsoft.com/office/drawing/2014/main" id="{BC7510FD-C53D-4603-82F6-6689D643B393}"/>
            </a:ext>
          </a:extLst>
        </xdr:cNvPr>
        <xdr:cNvSpPr/>
      </xdr:nvSpPr>
      <xdr:spPr>
        <a:xfrm>
          <a:off x="342900" y="1539240"/>
          <a:ext cx="1295400" cy="76962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DB02643-8DB8-4A8B-8220-2B6CC7FA55AA}" type="TxLink">
            <a:rPr lang="en-US" sz="2200" b="1" i="0" u="none" strike="noStrike">
              <a:solidFill>
                <a:schemeClr val="bg1"/>
              </a:solidFill>
              <a:effectLst>
                <a:outerShdw blurRad="254000" dist="127000" dir="2700000" algn="ctr" rotWithShape="0">
                  <a:srgbClr val="000000">
                    <a:alpha val="0"/>
                  </a:srgbClr>
                </a:outerShdw>
              </a:effectLst>
              <a:latin typeface="Arial"/>
              <a:ea typeface="+mn-ea"/>
              <a:cs typeface="Arial"/>
            </a:rPr>
            <a:pPr marL="0" indent="0" algn="ctr"/>
            <a:t>₹ 96,623</a:t>
          </a:fld>
          <a:endParaRPr lang="en-IN" sz="2200" b="1" i="0" u="none" strike="noStrike">
            <a:solidFill>
              <a:schemeClr val="bg1"/>
            </a:solidFill>
            <a:effectLst>
              <a:outerShdw blurRad="254000" dist="127000" dir="2700000" algn="ctr" rotWithShape="0">
                <a:srgbClr val="000000">
                  <a:alpha val="0"/>
                </a:srgbClr>
              </a:outerShdw>
            </a:effectLst>
            <a:latin typeface="Arial"/>
            <a:ea typeface="+mn-ea"/>
            <a:cs typeface="Arial"/>
          </a:endParaRPr>
        </a:p>
      </xdr:txBody>
    </xdr:sp>
    <xdr:clientData/>
  </xdr:twoCellAnchor>
  <xdr:twoCellAnchor>
    <xdr:from>
      <xdr:col>2</xdr:col>
      <xdr:colOff>175260</xdr:colOff>
      <xdr:row>8</xdr:row>
      <xdr:rowOff>160020</xdr:rowOff>
    </xdr:from>
    <xdr:to>
      <xdr:col>3</xdr:col>
      <xdr:colOff>441960</xdr:colOff>
      <xdr:row>9</xdr:row>
      <xdr:rowOff>167640</xdr:rowOff>
    </xdr:to>
    <xdr:sp macro="" textlink="">
      <xdr:nvSpPr>
        <xdr:cNvPr id="44" name="TextBox 43">
          <a:extLst>
            <a:ext uri="{FF2B5EF4-FFF2-40B4-BE49-F238E27FC236}">
              <a16:creationId xmlns:a16="http://schemas.microsoft.com/office/drawing/2014/main" id="{4FE605CD-3CA8-4126-B027-F7C82BB82F0A}"/>
            </a:ext>
          </a:extLst>
        </xdr:cNvPr>
        <xdr:cNvSpPr txBox="1"/>
      </xdr:nvSpPr>
      <xdr:spPr>
        <a:xfrm>
          <a:off x="541020" y="1562100"/>
          <a:ext cx="93726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1">
                  <a:lumMod val="95000"/>
                </a:schemeClr>
              </a:solidFill>
            </a:rPr>
            <a:t>Amount</a:t>
          </a:r>
        </a:p>
      </xdr:txBody>
    </xdr:sp>
    <xdr:clientData/>
  </xdr:twoCellAnchor>
  <xdr:twoCellAnchor editAs="oneCell">
    <xdr:from>
      <xdr:col>2</xdr:col>
      <xdr:colOff>38641</xdr:colOff>
      <xdr:row>8</xdr:row>
      <xdr:rowOff>174269</xdr:rowOff>
    </xdr:from>
    <xdr:to>
      <xdr:col>2</xdr:col>
      <xdr:colOff>195509</xdr:colOff>
      <xdr:row>9</xdr:row>
      <xdr:rowOff>155877</xdr:rowOff>
    </xdr:to>
    <xdr:pic>
      <xdr:nvPicPr>
        <xdr:cNvPr id="45" name="Graphic 44">
          <a:extLst>
            <a:ext uri="{FF2B5EF4-FFF2-40B4-BE49-F238E27FC236}">
              <a16:creationId xmlns:a16="http://schemas.microsoft.com/office/drawing/2014/main" id="{3F1DB1E8-4078-4638-8D7E-9816A1F21A7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404401" y="1576349"/>
          <a:ext cx="156868" cy="156868"/>
        </a:xfrm>
        <a:prstGeom prst="rect">
          <a:avLst/>
        </a:prstGeom>
      </xdr:spPr>
    </xdr:pic>
    <xdr:clientData/>
  </xdr:twoCellAnchor>
  <xdr:twoCellAnchor>
    <xdr:from>
      <xdr:col>2</xdr:col>
      <xdr:colOff>198120</xdr:colOff>
      <xdr:row>12</xdr:row>
      <xdr:rowOff>0</xdr:rowOff>
    </xdr:from>
    <xdr:to>
      <xdr:col>3</xdr:col>
      <xdr:colOff>426720</xdr:colOff>
      <xdr:row>12</xdr:row>
      <xdr:rowOff>160020</xdr:rowOff>
    </xdr:to>
    <xdr:sp macro="" textlink="pivots!B11">
      <xdr:nvSpPr>
        <xdr:cNvPr id="46" name="TextBox 45">
          <a:extLst>
            <a:ext uri="{FF2B5EF4-FFF2-40B4-BE49-F238E27FC236}">
              <a16:creationId xmlns:a16="http://schemas.microsoft.com/office/drawing/2014/main" id="{ECA3118B-1FB9-4BD8-B7C8-0F09DFC5A199}"/>
            </a:ext>
          </a:extLst>
        </xdr:cNvPr>
        <xdr:cNvSpPr txBox="1"/>
      </xdr:nvSpPr>
      <xdr:spPr>
        <a:xfrm>
          <a:off x="563880" y="2103120"/>
          <a:ext cx="89916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55AE9E-6267-4EE5-8BFD-6D3280D784F1}" type="TxLink">
            <a:rPr lang="en-US" sz="1100" b="0" i="0" u="none" strike="noStrike">
              <a:solidFill>
                <a:schemeClr val="accent6">
                  <a:lumMod val="20000"/>
                  <a:lumOff val="80000"/>
                </a:schemeClr>
              </a:solidFill>
              <a:latin typeface="Arial"/>
              <a:cs typeface="Arial"/>
            </a:rPr>
            <a:pPr algn="ctr"/>
            <a:t>₹ 20,872</a:t>
          </a:fld>
          <a:endParaRPr lang="en-IN" sz="1000">
            <a:solidFill>
              <a:schemeClr val="accent6">
                <a:lumMod val="20000"/>
                <a:lumOff val="80000"/>
              </a:schemeClr>
            </a:solidFill>
          </a:endParaRPr>
        </a:p>
      </xdr:txBody>
    </xdr:sp>
    <xdr:clientData/>
  </xdr:twoCellAnchor>
  <xdr:twoCellAnchor>
    <xdr:from>
      <xdr:col>1</xdr:col>
      <xdr:colOff>137160</xdr:colOff>
      <xdr:row>14</xdr:row>
      <xdr:rowOff>99060</xdr:rowOff>
    </xdr:from>
    <xdr:to>
      <xdr:col>3</xdr:col>
      <xdr:colOff>579120</xdr:colOff>
      <xdr:row>18</xdr:row>
      <xdr:rowOff>167640</xdr:rowOff>
    </xdr:to>
    <xdr:sp macro="" textlink="pivots!C4">
      <xdr:nvSpPr>
        <xdr:cNvPr id="47" name="Rectangle 46">
          <a:extLst>
            <a:ext uri="{FF2B5EF4-FFF2-40B4-BE49-F238E27FC236}">
              <a16:creationId xmlns:a16="http://schemas.microsoft.com/office/drawing/2014/main" id="{0B410895-56A5-46A1-AE53-441B20FC288B}"/>
            </a:ext>
          </a:extLst>
        </xdr:cNvPr>
        <xdr:cNvSpPr/>
      </xdr:nvSpPr>
      <xdr:spPr>
        <a:xfrm>
          <a:off x="320040" y="2552700"/>
          <a:ext cx="1295400" cy="76962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404785C-83C5-4645-9E99-DD8B8549D4F1}" type="TxLink">
            <a:rPr lang="en-US" sz="2200" b="1" i="0" u="none" strike="noStrike">
              <a:solidFill>
                <a:schemeClr val="bg1"/>
              </a:solidFill>
              <a:effectLst>
                <a:outerShdw blurRad="254000" dist="127000" dir="2700000" algn="ctr" rotWithShape="0">
                  <a:srgbClr val="000000">
                    <a:alpha val="0"/>
                  </a:srgbClr>
                </a:outerShdw>
              </a:effectLst>
              <a:latin typeface="Arial"/>
              <a:ea typeface="+mn-ea"/>
              <a:cs typeface="Arial"/>
            </a:rPr>
            <a:pPr marL="0" indent="0" algn="ctr"/>
            <a:t>89,850</a:t>
          </a:fld>
          <a:endParaRPr lang="en-IN" sz="2200" b="1" i="0" u="none" strike="noStrike">
            <a:solidFill>
              <a:schemeClr val="bg1"/>
            </a:solidFill>
            <a:effectLst>
              <a:outerShdw blurRad="254000" dist="127000" dir="2700000" algn="ctr" rotWithShape="0">
                <a:srgbClr val="000000">
                  <a:alpha val="0"/>
                </a:srgbClr>
              </a:outerShdw>
            </a:effectLst>
            <a:latin typeface="Arial"/>
            <a:ea typeface="+mn-ea"/>
            <a:cs typeface="Arial"/>
          </a:endParaRPr>
        </a:p>
      </xdr:txBody>
    </xdr:sp>
    <xdr:clientData/>
  </xdr:twoCellAnchor>
  <xdr:twoCellAnchor>
    <xdr:from>
      <xdr:col>2</xdr:col>
      <xdr:colOff>152400</xdr:colOff>
      <xdr:row>14</xdr:row>
      <xdr:rowOff>121920</xdr:rowOff>
    </xdr:from>
    <xdr:to>
      <xdr:col>3</xdr:col>
      <xdr:colOff>419100</xdr:colOff>
      <xdr:row>15</xdr:row>
      <xdr:rowOff>129540</xdr:rowOff>
    </xdr:to>
    <xdr:sp macro="" textlink="">
      <xdr:nvSpPr>
        <xdr:cNvPr id="48" name="TextBox 47">
          <a:extLst>
            <a:ext uri="{FF2B5EF4-FFF2-40B4-BE49-F238E27FC236}">
              <a16:creationId xmlns:a16="http://schemas.microsoft.com/office/drawing/2014/main" id="{58289C1C-352B-424E-9B45-1BC06576C3CA}"/>
            </a:ext>
          </a:extLst>
        </xdr:cNvPr>
        <xdr:cNvSpPr txBox="1"/>
      </xdr:nvSpPr>
      <xdr:spPr>
        <a:xfrm>
          <a:off x="518160" y="2575560"/>
          <a:ext cx="93726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1">
                  <a:lumMod val="95000"/>
                </a:schemeClr>
              </a:solidFill>
            </a:rPr>
            <a:t>Duration</a:t>
          </a:r>
        </a:p>
      </xdr:txBody>
    </xdr:sp>
    <xdr:clientData/>
  </xdr:twoCellAnchor>
  <xdr:twoCellAnchor editAs="oneCell">
    <xdr:from>
      <xdr:col>2</xdr:col>
      <xdr:colOff>15781</xdr:colOff>
      <xdr:row>14</xdr:row>
      <xdr:rowOff>136169</xdr:rowOff>
    </xdr:from>
    <xdr:to>
      <xdr:col>2</xdr:col>
      <xdr:colOff>172649</xdr:colOff>
      <xdr:row>15</xdr:row>
      <xdr:rowOff>117777</xdr:rowOff>
    </xdr:to>
    <xdr:pic>
      <xdr:nvPicPr>
        <xdr:cNvPr id="49" name="Graphic 48">
          <a:extLst>
            <a:ext uri="{FF2B5EF4-FFF2-40B4-BE49-F238E27FC236}">
              <a16:creationId xmlns:a16="http://schemas.microsoft.com/office/drawing/2014/main" id="{83096376-A708-4E81-B75D-F06979E35F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381541" y="2589809"/>
          <a:ext cx="156868" cy="156868"/>
        </a:xfrm>
        <a:prstGeom prst="rect">
          <a:avLst/>
        </a:prstGeom>
      </xdr:spPr>
    </xdr:pic>
    <xdr:clientData/>
  </xdr:twoCellAnchor>
  <xdr:twoCellAnchor>
    <xdr:from>
      <xdr:col>2</xdr:col>
      <xdr:colOff>175260</xdr:colOff>
      <xdr:row>17</xdr:row>
      <xdr:rowOff>137160</xdr:rowOff>
    </xdr:from>
    <xdr:to>
      <xdr:col>3</xdr:col>
      <xdr:colOff>403860</xdr:colOff>
      <xdr:row>18</xdr:row>
      <xdr:rowOff>121920</xdr:rowOff>
    </xdr:to>
    <xdr:sp macro="" textlink="pivots!C11">
      <xdr:nvSpPr>
        <xdr:cNvPr id="50" name="TextBox 49">
          <a:extLst>
            <a:ext uri="{FF2B5EF4-FFF2-40B4-BE49-F238E27FC236}">
              <a16:creationId xmlns:a16="http://schemas.microsoft.com/office/drawing/2014/main" id="{BA8B17F4-A1F4-4962-A667-DB2C430E6ED8}"/>
            </a:ext>
          </a:extLst>
        </xdr:cNvPr>
        <xdr:cNvSpPr txBox="1"/>
      </xdr:nvSpPr>
      <xdr:spPr>
        <a:xfrm>
          <a:off x="541020" y="3116580"/>
          <a:ext cx="89916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5E3DDC-73E0-4821-BC0C-D8B10532D8AF}" type="TxLink">
            <a:rPr lang="en-US" sz="1100" b="0" i="0" u="none" strike="noStrike">
              <a:solidFill>
                <a:schemeClr val="accent6">
                  <a:lumMod val="20000"/>
                  <a:lumOff val="80000"/>
                </a:schemeClr>
              </a:solidFill>
              <a:latin typeface="Arial"/>
              <a:cs typeface="Arial"/>
            </a:rPr>
            <a:pPr algn="ctr"/>
            <a:t>17,700</a:t>
          </a:fld>
          <a:endParaRPr lang="en-IN" sz="1000">
            <a:solidFill>
              <a:schemeClr val="accent6">
                <a:lumMod val="20000"/>
                <a:lumOff val="80000"/>
              </a:schemeClr>
            </a:solidFill>
          </a:endParaRPr>
        </a:p>
      </xdr:txBody>
    </xdr:sp>
    <xdr:clientData/>
  </xdr:twoCellAnchor>
  <xdr:twoCellAnchor>
    <xdr:from>
      <xdr:col>1</xdr:col>
      <xdr:colOff>129540</xdr:colOff>
      <xdr:row>20</xdr:row>
      <xdr:rowOff>68580</xdr:rowOff>
    </xdr:from>
    <xdr:to>
      <xdr:col>3</xdr:col>
      <xdr:colOff>571500</xdr:colOff>
      <xdr:row>24</xdr:row>
      <xdr:rowOff>137160</xdr:rowOff>
    </xdr:to>
    <xdr:sp macro="" textlink="pivots!D4">
      <xdr:nvSpPr>
        <xdr:cNvPr id="51" name="Rectangle 50">
          <a:extLst>
            <a:ext uri="{FF2B5EF4-FFF2-40B4-BE49-F238E27FC236}">
              <a16:creationId xmlns:a16="http://schemas.microsoft.com/office/drawing/2014/main" id="{C880C31B-20CD-45F9-8409-C98E4BE7FC9C}"/>
            </a:ext>
          </a:extLst>
        </xdr:cNvPr>
        <xdr:cNvSpPr/>
      </xdr:nvSpPr>
      <xdr:spPr>
        <a:xfrm>
          <a:off x="312420" y="3573780"/>
          <a:ext cx="1295400" cy="76962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91ABCAC-8860-4A65-9AD3-FE55FF3189AF}" type="TxLink">
            <a:rPr lang="en-US" sz="2200" b="1" i="0" u="none" strike="noStrike">
              <a:solidFill>
                <a:schemeClr val="bg1"/>
              </a:solidFill>
              <a:effectLst>
                <a:outerShdw blurRad="254000" dist="127000" dir="2700000" algn="ctr" rotWithShape="0">
                  <a:srgbClr val="000000">
                    <a:alpha val="0"/>
                  </a:srgbClr>
                </a:outerShdw>
              </a:effectLst>
              <a:latin typeface="Arial"/>
              <a:ea typeface="+mn-ea"/>
              <a:cs typeface="Arial"/>
            </a:rPr>
            <a:pPr marL="0" indent="0" algn="ctr"/>
            <a:t>3.9</a:t>
          </a:fld>
          <a:endParaRPr lang="en-IN" sz="2200" b="1" i="0" u="none" strike="noStrike">
            <a:solidFill>
              <a:schemeClr val="bg1"/>
            </a:solidFill>
            <a:effectLst>
              <a:outerShdw blurRad="254000" dist="127000" dir="2700000" algn="ctr" rotWithShape="0">
                <a:srgbClr val="000000">
                  <a:alpha val="0"/>
                </a:srgbClr>
              </a:outerShdw>
            </a:effectLst>
            <a:latin typeface="Arial"/>
            <a:ea typeface="+mn-ea"/>
            <a:cs typeface="Arial"/>
          </a:endParaRPr>
        </a:p>
      </xdr:txBody>
    </xdr:sp>
    <xdr:clientData/>
  </xdr:twoCellAnchor>
  <xdr:twoCellAnchor>
    <xdr:from>
      <xdr:col>2</xdr:col>
      <xdr:colOff>144780</xdr:colOff>
      <xdr:row>20</xdr:row>
      <xdr:rowOff>91440</xdr:rowOff>
    </xdr:from>
    <xdr:to>
      <xdr:col>3</xdr:col>
      <xdr:colOff>411480</xdr:colOff>
      <xdr:row>21</xdr:row>
      <xdr:rowOff>99060</xdr:rowOff>
    </xdr:to>
    <xdr:sp macro="" textlink="">
      <xdr:nvSpPr>
        <xdr:cNvPr id="52" name="TextBox 51">
          <a:extLst>
            <a:ext uri="{FF2B5EF4-FFF2-40B4-BE49-F238E27FC236}">
              <a16:creationId xmlns:a16="http://schemas.microsoft.com/office/drawing/2014/main" id="{5AECD78D-E6F4-47A4-A591-D4B98D5C720C}"/>
            </a:ext>
          </a:extLst>
        </xdr:cNvPr>
        <xdr:cNvSpPr txBox="1"/>
      </xdr:nvSpPr>
      <xdr:spPr>
        <a:xfrm>
          <a:off x="510540" y="3596640"/>
          <a:ext cx="93726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1">
                  <a:lumMod val="95000"/>
                </a:schemeClr>
              </a:solidFill>
            </a:rPr>
            <a:t>Avg</a:t>
          </a:r>
          <a:r>
            <a:rPr lang="en-IN" sz="1000" b="1" baseline="0">
              <a:solidFill>
                <a:schemeClr val="bg1">
                  <a:lumMod val="95000"/>
                </a:schemeClr>
              </a:solidFill>
            </a:rPr>
            <a:t> Rating</a:t>
          </a:r>
          <a:endParaRPr lang="en-IN" sz="1000" b="1">
            <a:solidFill>
              <a:schemeClr val="bg1">
                <a:lumMod val="95000"/>
              </a:schemeClr>
            </a:solidFill>
          </a:endParaRPr>
        </a:p>
      </xdr:txBody>
    </xdr:sp>
    <xdr:clientData/>
  </xdr:twoCellAnchor>
  <xdr:twoCellAnchor editAs="oneCell">
    <xdr:from>
      <xdr:col>2</xdr:col>
      <xdr:colOff>8161</xdr:colOff>
      <xdr:row>20</xdr:row>
      <xdr:rowOff>105689</xdr:rowOff>
    </xdr:from>
    <xdr:to>
      <xdr:col>2</xdr:col>
      <xdr:colOff>165029</xdr:colOff>
      <xdr:row>21</xdr:row>
      <xdr:rowOff>87297</xdr:rowOff>
    </xdr:to>
    <xdr:pic>
      <xdr:nvPicPr>
        <xdr:cNvPr id="53" name="Graphic 52">
          <a:extLst>
            <a:ext uri="{FF2B5EF4-FFF2-40B4-BE49-F238E27FC236}">
              <a16:creationId xmlns:a16="http://schemas.microsoft.com/office/drawing/2014/main" id="{50BEB075-E457-4B6E-A81C-A3D3A2EC913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373921" y="3610889"/>
          <a:ext cx="156868" cy="156868"/>
        </a:xfrm>
        <a:prstGeom prst="rect">
          <a:avLst/>
        </a:prstGeom>
      </xdr:spPr>
    </xdr:pic>
    <xdr:clientData/>
  </xdr:twoCellAnchor>
  <xdr:twoCellAnchor>
    <xdr:from>
      <xdr:col>2</xdr:col>
      <xdr:colOff>167640</xdr:colOff>
      <xdr:row>23</xdr:row>
      <xdr:rowOff>106680</xdr:rowOff>
    </xdr:from>
    <xdr:to>
      <xdr:col>3</xdr:col>
      <xdr:colOff>396240</xdr:colOff>
      <xdr:row>24</xdr:row>
      <xdr:rowOff>91440</xdr:rowOff>
    </xdr:to>
    <xdr:sp macro="" textlink="pivots!D11">
      <xdr:nvSpPr>
        <xdr:cNvPr id="54" name="TextBox 53">
          <a:extLst>
            <a:ext uri="{FF2B5EF4-FFF2-40B4-BE49-F238E27FC236}">
              <a16:creationId xmlns:a16="http://schemas.microsoft.com/office/drawing/2014/main" id="{D67CFEEE-33AC-4E70-8D78-33D4291A12B5}"/>
            </a:ext>
          </a:extLst>
        </xdr:cNvPr>
        <xdr:cNvSpPr txBox="1"/>
      </xdr:nvSpPr>
      <xdr:spPr>
        <a:xfrm>
          <a:off x="533400" y="4137660"/>
          <a:ext cx="89916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FA1EEC-8758-43FF-8B62-162B2EB8CA8D}" type="TxLink">
            <a:rPr lang="en-US" sz="1100" b="0" i="0" u="none" strike="noStrike">
              <a:solidFill>
                <a:schemeClr val="accent6">
                  <a:lumMod val="20000"/>
                  <a:lumOff val="80000"/>
                </a:schemeClr>
              </a:solidFill>
              <a:latin typeface="Arial"/>
              <a:cs typeface="Arial"/>
            </a:rPr>
            <a:pPr algn="ctr"/>
            <a:t>3.9</a:t>
          </a:fld>
          <a:endParaRPr lang="en-IN" sz="1000">
            <a:solidFill>
              <a:schemeClr val="accent6">
                <a:lumMod val="20000"/>
                <a:lumOff val="80000"/>
              </a:schemeClr>
            </a:solidFill>
          </a:endParaRPr>
        </a:p>
      </xdr:txBody>
    </xdr:sp>
    <xdr:clientData/>
  </xdr:twoCellAnchor>
  <xdr:twoCellAnchor>
    <xdr:from>
      <xdr:col>1</xdr:col>
      <xdr:colOff>129540</xdr:colOff>
      <xdr:row>26</xdr:row>
      <xdr:rowOff>0</xdr:rowOff>
    </xdr:from>
    <xdr:to>
      <xdr:col>3</xdr:col>
      <xdr:colOff>571500</xdr:colOff>
      <xdr:row>30</xdr:row>
      <xdr:rowOff>68580</xdr:rowOff>
    </xdr:to>
    <xdr:sp macro="" textlink="pivots!E4">
      <xdr:nvSpPr>
        <xdr:cNvPr id="55" name="Rectangle 54">
          <a:extLst>
            <a:ext uri="{FF2B5EF4-FFF2-40B4-BE49-F238E27FC236}">
              <a16:creationId xmlns:a16="http://schemas.microsoft.com/office/drawing/2014/main" id="{7304A49D-262C-4315-B2FF-FC63908AA574}"/>
            </a:ext>
          </a:extLst>
        </xdr:cNvPr>
        <xdr:cNvSpPr/>
      </xdr:nvSpPr>
      <xdr:spPr>
        <a:xfrm>
          <a:off x="312420" y="4556760"/>
          <a:ext cx="1295400" cy="76962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A4A525E-C14E-42BF-A30A-BE7D939135FE}" type="TxLink">
            <a:rPr lang="en-US" sz="2200" b="1" i="0" u="none" strike="noStrike">
              <a:solidFill>
                <a:schemeClr val="bg1"/>
              </a:solidFill>
              <a:effectLst>
                <a:outerShdw blurRad="254000" dist="127000" dir="2700000" algn="ctr" rotWithShape="0">
                  <a:srgbClr val="000000">
                    <a:alpha val="0"/>
                  </a:srgbClr>
                </a:outerShdw>
              </a:effectLst>
              <a:latin typeface="Arial"/>
              <a:ea typeface="+mn-ea"/>
              <a:cs typeface="Arial"/>
            </a:rPr>
            <a:pPr marL="0" indent="0" algn="ctr"/>
            <a:t>307</a:t>
          </a:fld>
          <a:endParaRPr lang="en-IN" sz="2200" b="1" i="0" u="none" strike="noStrike">
            <a:solidFill>
              <a:schemeClr val="bg1"/>
            </a:solidFill>
            <a:effectLst>
              <a:outerShdw blurRad="254000" dist="127000" dir="2700000" algn="ctr" rotWithShape="0">
                <a:srgbClr val="000000">
                  <a:alpha val="0"/>
                </a:srgbClr>
              </a:outerShdw>
            </a:effectLst>
            <a:latin typeface="Arial"/>
            <a:ea typeface="+mn-ea"/>
            <a:cs typeface="Arial"/>
          </a:endParaRPr>
        </a:p>
      </xdr:txBody>
    </xdr:sp>
    <xdr:clientData/>
  </xdr:twoCellAnchor>
  <xdr:twoCellAnchor>
    <xdr:from>
      <xdr:col>2</xdr:col>
      <xdr:colOff>30480</xdr:colOff>
      <xdr:row>26</xdr:row>
      <xdr:rowOff>22860</xdr:rowOff>
    </xdr:from>
    <xdr:to>
      <xdr:col>3</xdr:col>
      <xdr:colOff>579120</xdr:colOff>
      <xdr:row>27</xdr:row>
      <xdr:rowOff>45720</xdr:rowOff>
    </xdr:to>
    <xdr:sp macro="" textlink="">
      <xdr:nvSpPr>
        <xdr:cNvPr id="56" name="TextBox 55">
          <a:extLst>
            <a:ext uri="{FF2B5EF4-FFF2-40B4-BE49-F238E27FC236}">
              <a16:creationId xmlns:a16="http://schemas.microsoft.com/office/drawing/2014/main" id="{DD2F3A38-CA16-4BC1-A317-2A6E67E664B3}"/>
            </a:ext>
          </a:extLst>
        </xdr:cNvPr>
        <xdr:cNvSpPr txBox="1"/>
      </xdr:nvSpPr>
      <xdr:spPr>
        <a:xfrm>
          <a:off x="396240" y="4579620"/>
          <a:ext cx="12192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solidFill>
                <a:schemeClr val="bg1">
                  <a:lumMod val="95000"/>
                </a:schemeClr>
              </a:solidFill>
            </a:rPr>
            <a:t>Happy</a:t>
          </a:r>
          <a:r>
            <a:rPr lang="en-IN" sz="900" b="1" baseline="0">
              <a:solidFill>
                <a:schemeClr val="bg1">
                  <a:lumMod val="95000"/>
                </a:schemeClr>
              </a:solidFill>
            </a:rPr>
            <a:t> </a:t>
          </a:r>
          <a:r>
            <a:rPr lang="en-IN" sz="1000" b="1" baseline="0">
              <a:solidFill>
                <a:schemeClr val="bg1">
                  <a:lumMod val="95000"/>
                </a:schemeClr>
              </a:solidFill>
            </a:rPr>
            <a:t>Callers</a:t>
          </a:r>
          <a:endParaRPr lang="en-IN" sz="1000" b="1">
            <a:solidFill>
              <a:schemeClr val="bg1">
                <a:lumMod val="95000"/>
              </a:schemeClr>
            </a:solidFill>
          </a:endParaRPr>
        </a:p>
      </xdr:txBody>
    </xdr:sp>
    <xdr:clientData/>
  </xdr:twoCellAnchor>
  <xdr:twoCellAnchor editAs="oneCell">
    <xdr:from>
      <xdr:col>2</xdr:col>
      <xdr:colOff>8161</xdr:colOff>
      <xdr:row>26</xdr:row>
      <xdr:rowOff>37109</xdr:rowOff>
    </xdr:from>
    <xdr:to>
      <xdr:col>2</xdr:col>
      <xdr:colOff>165029</xdr:colOff>
      <xdr:row>27</xdr:row>
      <xdr:rowOff>18717</xdr:rowOff>
    </xdr:to>
    <xdr:pic>
      <xdr:nvPicPr>
        <xdr:cNvPr id="57" name="Graphic 56">
          <a:extLst>
            <a:ext uri="{FF2B5EF4-FFF2-40B4-BE49-F238E27FC236}">
              <a16:creationId xmlns:a16="http://schemas.microsoft.com/office/drawing/2014/main" id="{F3F59870-007A-46D7-8B11-6FD6F947A97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373921" y="4593869"/>
          <a:ext cx="156868" cy="156868"/>
        </a:xfrm>
        <a:prstGeom prst="rect">
          <a:avLst/>
        </a:prstGeom>
      </xdr:spPr>
    </xdr:pic>
    <xdr:clientData/>
  </xdr:twoCellAnchor>
  <xdr:twoCellAnchor>
    <xdr:from>
      <xdr:col>2</xdr:col>
      <xdr:colOff>167640</xdr:colOff>
      <xdr:row>29</xdr:row>
      <xdr:rowOff>38100</xdr:rowOff>
    </xdr:from>
    <xdr:to>
      <xdr:col>3</xdr:col>
      <xdr:colOff>396240</xdr:colOff>
      <xdr:row>30</xdr:row>
      <xdr:rowOff>22860</xdr:rowOff>
    </xdr:to>
    <xdr:sp macro="" textlink="pivots!E11">
      <xdr:nvSpPr>
        <xdr:cNvPr id="58" name="TextBox 57">
          <a:extLst>
            <a:ext uri="{FF2B5EF4-FFF2-40B4-BE49-F238E27FC236}">
              <a16:creationId xmlns:a16="http://schemas.microsoft.com/office/drawing/2014/main" id="{C7766D19-EB63-42ED-A666-8D6C59922BA0}"/>
            </a:ext>
          </a:extLst>
        </xdr:cNvPr>
        <xdr:cNvSpPr txBox="1"/>
      </xdr:nvSpPr>
      <xdr:spPr>
        <a:xfrm>
          <a:off x="533400" y="5120640"/>
          <a:ext cx="89916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7BD72-9011-4229-A6AC-8BC35088DC82}" type="TxLink">
            <a:rPr lang="en-US" sz="1100" b="0" i="0" u="none" strike="noStrike">
              <a:solidFill>
                <a:schemeClr val="accent6">
                  <a:lumMod val="20000"/>
                  <a:lumOff val="80000"/>
                </a:schemeClr>
              </a:solidFill>
              <a:latin typeface="Arial"/>
              <a:cs typeface="Arial"/>
            </a:rPr>
            <a:pPr algn="ctr"/>
            <a:t>60</a:t>
          </a:fld>
          <a:endParaRPr lang="en-IN" sz="1000">
            <a:solidFill>
              <a:schemeClr val="accent6">
                <a:lumMod val="20000"/>
                <a:lumOff val="80000"/>
              </a:schemeClr>
            </a:solidFill>
          </a:endParaRPr>
        </a:p>
      </xdr:txBody>
    </xdr:sp>
    <xdr:clientData/>
  </xdr:twoCellAnchor>
  <xdr:twoCellAnchor editAs="oneCell">
    <xdr:from>
      <xdr:col>11</xdr:col>
      <xdr:colOff>647700</xdr:colOff>
      <xdr:row>17</xdr:row>
      <xdr:rowOff>38100</xdr:rowOff>
    </xdr:from>
    <xdr:to>
      <xdr:col>14</xdr:col>
      <xdr:colOff>0</xdr:colOff>
      <xdr:row>27</xdr:row>
      <xdr:rowOff>114299</xdr:rowOff>
    </xdr:to>
    <mc:AlternateContent xmlns:mc="http://schemas.openxmlformats.org/markup-compatibility/2006" xmlns:a14="http://schemas.microsoft.com/office/drawing/2010/main">
      <mc:Choice Requires="a14">
        <xdr:graphicFrame macro="">
          <xdr:nvGraphicFramePr>
            <xdr:cNvPr id="59" name="Representative">
              <a:extLst>
                <a:ext uri="{FF2B5EF4-FFF2-40B4-BE49-F238E27FC236}">
                  <a16:creationId xmlns:a16="http://schemas.microsoft.com/office/drawing/2014/main" id="{39A0EB08-62B7-4995-8DB8-8CA8EC655FD4}"/>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583680" y="3017520"/>
              <a:ext cx="1341120" cy="1828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2</xdr:row>
      <xdr:rowOff>0</xdr:rowOff>
    </xdr:from>
    <xdr:to>
      <xdr:col>11</xdr:col>
      <xdr:colOff>358140</xdr:colOff>
      <xdr:row>14</xdr:row>
      <xdr:rowOff>0</xdr:rowOff>
    </xdr:to>
    <xdr:graphicFrame macro="">
      <xdr:nvGraphicFramePr>
        <xdr:cNvPr id="60" name="Chart 59">
          <a:extLst>
            <a:ext uri="{FF2B5EF4-FFF2-40B4-BE49-F238E27FC236}">
              <a16:creationId xmlns:a16="http://schemas.microsoft.com/office/drawing/2014/main" id="{153444F5-2F44-4CF0-8E37-F5305E059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41910</xdr:colOff>
      <xdr:row>15</xdr:row>
      <xdr:rowOff>41910</xdr:rowOff>
    </xdr:from>
    <xdr:to>
      <xdr:col>8</xdr:col>
      <xdr:colOff>495300</xdr:colOff>
      <xdr:row>30</xdr:row>
      <xdr:rowOff>15240</xdr:rowOff>
    </xdr:to>
    <xdr:graphicFrame macro="">
      <xdr:nvGraphicFramePr>
        <xdr:cNvPr id="62" name="Chart 61">
          <a:extLst>
            <a:ext uri="{FF2B5EF4-FFF2-40B4-BE49-F238E27FC236}">
              <a16:creationId xmlns:a16="http://schemas.microsoft.com/office/drawing/2014/main" id="{CAC93C34-DAA1-4F64-A951-240A6405B7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213360</xdr:colOff>
      <xdr:row>15</xdr:row>
      <xdr:rowOff>45720</xdr:rowOff>
    </xdr:from>
    <xdr:to>
      <xdr:col>11</xdr:col>
      <xdr:colOff>579120</xdr:colOff>
      <xdr:row>30</xdr:row>
      <xdr:rowOff>22860</xdr:rowOff>
    </xdr:to>
    <xdr:graphicFrame macro="">
      <xdr:nvGraphicFramePr>
        <xdr:cNvPr id="63" name="Chart 62">
          <a:extLst>
            <a:ext uri="{FF2B5EF4-FFF2-40B4-BE49-F238E27FC236}">
              <a16:creationId xmlns:a16="http://schemas.microsoft.com/office/drawing/2014/main" id="{4F8FAAD3-15C3-4126-BE79-AF977EF2A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312420</xdr:colOff>
      <xdr:row>2</xdr:row>
      <xdr:rowOff>0</xdr:rowOff>
    </xdr:from>
    <xdr:to>
      <xdr:col>18</xdr:col>
      <xdr:colOff>320040</xdr:colOff>
      <xdr:row>14</xdr:row>
      <xdr:rowOff>0</xdr:rowOff>
    </xdr:to>
    <xdr:graphicFrame macro="">
      <xdr:nvGraphicFramePr>
        <xdr:cNvPr id="2" name="Chart 1">
          <a:extLst>
            <a:ext uri="{FF2B5EF4-FFF2-40B4-BE49-F238E27FC236}">
              <a16:creationId xmlns:a16="http://schemas.microsoft.com/office/drawing/2014/main" id="{DD2D004A-5301-4387-883E-62CC6C160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403860</xdr:colOff>
      <xdr:row>2</xdr:row>
      <xdr:rowOff>0</xdr:rowOff>
    </xdr:from>
    <xdr:to>
      <xdr:col>22</xdr:col>
      <xdr:colOff>457200</xdr:colOff>
      <xdr:row>14</xdr:row>
      <xdr:rowOff>0</xdr:rowOff>
    </xdr:to>
    <xdr:graphicFrame macro="">
      <xdr:nvGraphicFramePr>
        <xdr:cNvPr id="7" name="Chart 6">
          <a:extLst>
            <a:ext uri="{FF2B5EF4-FFF2-40B4-BE49-F238E27FC236}">
              <a16:creationId xmlns:a16="http://schemas.microsoft.com/office/drawing/2014/main" id="{2F607F48-B631-43A8-B7DA-AD65B9037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99060</xdr:colOff>
      <xdr:row>0</xdr:row>
      <xdr:rowOff>53340</xdr:rowOff>
    </xdr:from>
    <xdr:to>
      <xdr:col>9</xdr:col>
      <xdr:colOff>640080</xdr:colOff>
      <xdr:row>0</xdr:row>
      <xdr:rowOff>464820</xdr:rowOff>
    </xdr:to>
    <xdr:sp macro="" textlink="">
      <xdr:nvSpPr>
        <xdr:cNvPr id="9" name="TextBox 8">
          <a:extLst>
            <a:ext uri="{FF2B5EF4-FFF2-40B4-BE49-F238E27FC236}">
              <a16:creationId xmlns:a16="http://schemas.microsoft.com/office/drawing/2014/main" id="{71A31618-68C0-101E-4065-47321C3EBC5C}"/>
            </a:ext>
          </a:extLst>
        </xdr:cNvPr>
        <xdr:cNvSpPr txBox="1"/>
      </xdr:nvSpPr>
      <xdr:spPr>
        <a:xfrm>
          <a:off x="281940" y="53340"/>
          <a:ext cx="49530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b="1">
              <a:solidFill>
                <a:schemeClr val="tx2">
                  <a:lumMod val="75000"/>
                </a:schemeClr>
              </a:solidFill>
            </a:rPr>
            <a:t>CALL CENTRE</a:t>
          </a:r>
          <a:r>
            <a:rPr lang="en-IN" sz="2400" b="1" baseline="0">
              <a:solidFill>
                <a:schemeClr val="tx2">
                  <a:lumMod val="75000"/>
                </a:schemeClr>
              </a:solidFill>
            </a:rPr>
            <a:t> REPORT - 2025</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10</xdr:row>
      <xdr:rowOff>3063</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310927</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39757</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13</xdr:row>
      <xdr:rowOff>23894</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19</xdr:row>
      <xdr:rowOff>10855</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ANI" refreshedDate="46167.479473726853" backgroundQuery="1" createdVersion="8" refreshedVersion="8" minRefreshableVersion="3" recordCount="0" supportSubquery="1" supportAdvancedDrill="1" xr:uid="{D2E5AD50-ACAD-440F-BC16-E3824823F340}">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ANI" refreshedDate="46167.592821990744" backgroundQuery="1" createdVersion="8" refreshedVersion="8" minRefreshableVersion="3" recordCount="0" supportSubquery="1" supportAdvancedDrill="1" xr:uid="{59BDAE7A-EA27-40FA-A3C3-92F96A276194}">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ANI" refreshedDate="46167.93327627315" backgroundQuery="1" createdVersion="8" refreshedVersion="8" minRefreshableVersion="3" recordCount="0" supportSubquery="1" supportAdvancedDrill="1" xr:uid="{468652C0-367D-4BCC-8BE4-1A248AD93080}">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ANI" refreshedDate="46168.608388194443" backgroundQuery="1" createdVersion="8" refreshedVersion="8" minRefreshableVersion="3" recordCount="0" supportSubquery="1" supportAdvancedDrill="1" xr:uid="{10FACC1B-8ED5-4633-B451-3F6963E486C0}">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ANI" refreshedDate="46169.526520486113" backgroundQuery="1" createdVersion="8" refreshedVersion="8" minRefreshableVersion="3" recordCount="0" supportSubquery="1" supportAdvancedDrill="1" xr:uid="{F041766D-8505-4AEA-895C-DCB4DE6E3297}">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ANI" refreshedDate="46169.526521064814" backgroundQuery="1" createdVersion="8" refreshedVersion="8" minRefreshableVersion="3" recordCount="0" supportSubquery="1" supportAdvancedDrill="1" xr:uid="{CEF97810-6DC1-4F83-80A4-C005B210B152}">
  <cacheSource type="external" connectionId="1"/>
  <cacheFields count="5">
    <cacheField name="[calls].[Date of Call].[Date of Call]" caption="Date of Call" numFmtId="0" hierarchy="4" level="1">
      <sharedItems containsSemiMixedTypes="0" containsNonDate="0" containsDate="1" containsString="0" minDate="2023-01-01T00:00:00" maxDate="2023-02-01T00:00:00" count="28">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ANI" refreshedDate="46169.526521527776" backgroundQuery="1" createdVersion="8" refreshedVersion="8" minRefreshableVersion="3" recordCount="0" supportSubquery="1" supportAdvancedDrill="1" xr:uid="{0CA76BF7-9D8A-4AD7-AE6D-6B1AE596C657}">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ANI" refreshedDate="46169.526521874999" backgroundQuery="1" createdVersion="8" refreshedVersion="8" minRefreshableVersion="3" recordCount="0" supportSubquery="1" supportAdvancedDrill="1" xr:uid="{30B3B7B7-95FD-4612-BDD8-1394A3DAD161}">
  <cacheSource type="external" connectionId="1"/>
  <cacheFields count="1">
    <cacheField name="[calls].[Representative].[Representative]" caption="Representative" numFmtId="0" hierarchy="3" level="1">
      <sharedItems count="1">
        <s v="R03"/>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ANI" refreshedDate="46169.526522453707" backgroundQuery="1" createdVersion="8" refreshedVersion="8" minRefreshableVersion="3" recordCount="0" supportSubquery="1" supportAdvancedDrill="1" xr:uid="{949091E9-5A24-4E37-95A8-6701F674AD84}">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ANI" refreshedDate="46167.479462731484" backgroundQuery="1" createdVersion="3" refreshedVersion="8" minRefreshableVersion="3" recordCount="0" supportSubquery="1" supportAdvancedDrill="1" xr:uid="{F3DB4A5F-2A9C-469F-ABF4-BD53B24E18FD}">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750111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019319-1549-463A-9A05-C9574AEC0492}" name="selected rep pivot" cacheId="5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9:A50"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8">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12EEA1-B592-48A4-BA82-0CD2FBDA3A89}"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0E131D-FDC7-4C1E-864F-817D90DD239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0:D65"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6">
    <chartFormat chart="2" format="2" series="1">
      <pivotArea type="data" outline="0" fieldPosition="0">
        <references count="2">
          <reference field="4294967294" count="1" selected="0">
            <x v="0"/>
          </reference>
          <reference field="1" count="1" selected="0">
            <x v="0"/>
          </reference>
        </references>
      </pivotArea>
    </chartFormat>
    <chartFormat chart="2" format="3"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3A8076-E913-4887-BB4A-3834A63FF134}" name="weekday trend" cacheId="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E21:F29"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1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26D9CC-54E8-4921-A397-2530EDE4C780}" name="monthly trend" cacheId="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21:C34" firstHeaderRow="0" firstDataRow="1" firstDataCol="1"/>
  <pivotFields count="5">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2">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40D57A-FFA8-4C12-9E81-B053653F6F5A}" name="rep satisfaction"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70:B77"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4">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902741-72B4-48E6-BDAD-E8255C056F93}"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9:C45"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1F2FB8-A62D-4F73-AA1F-FB67939E6DBD}" name="rep pivot"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4FF73C-B815-4E39-9B84-2D405BCB52EC}" name="rep amounts"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81:G100"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57DC0629-8B58-4E9B-8DB5-5608929A4E9D}" sourceName="[calls].[Representative]">
  <pivotTables>
    <pivotTable tabId="6" name="rep pivot"/>
    <pivotTable tabId="6" name="monthly trend"/>
    <pivotTable tabId="6" name="weekday trend"/>
    <pivotTable tabId="6" name="selected rep pivot"/>
    <pivotTable tabId="6" name="rep satisfaction"/>
  </pivotTables>
  <data>
    <olap pivotCacheId="1775011172">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ADEE4D67-9A66-4685-848C-244FD066BC54}" cache="Slicer_Representative" caption="Representative" level="1" style="SlicerStyleDark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7"/>
    <tableColumn id="5" xr3:uid="{5A35565E-8707-4DED-AD15-A0669D67B382}" name="Date of Call" dataDxfId="16"/>
    <tableColumn id="6" xr3:uid="{F2E4F158-B41F-47BC-8DF8-DFCADFEE4E40}" name="Purchase Amount"/>
    <tableColumn id="7" xr3:uid="{04B291B5-47BD-4F78-8FD8-D1551CCA6BD9}" name="Satisfaction Rating"/>
    <tableColumn id="8" xr3:uid="{6E4123C0-0B17-43B8-A142-A1E540CE974C}" name="FY" dataDxfId="15">
      <calculatedColumnFormula>IF(MONTH(calls[[#This Row],[Date of Call]])&lt;=6, YEAR(calls[[#This Row],[Date of Call]]), YEAR(calls[[#This Row],[Date of Call]])+1)</calculatedColumnFormula>
    </tableColumn>
    <tableColumn id="9" xr3:uid="{199FA271-5E9B-46CE-9BC6-2801F92CD17E}" name="Day of week" dataDxfId="14">
      <calculatedColumnFormula>TEXT(calls[[#This Row],[Date of Call]],"DDDD")</calculatedColumnFormula>
    </tableColumn>
    <tableColumn id="10" xr3:uid="{328CDB09-95B8-4D5E-9ED9-EF0D363735A1}" name="Duration Bucket" dataDxfId="13">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2">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1" headerRowBorderDxfId="10" tableBorderDxfId="9" totalsRowBorderDxfId="8">
  <autoFilter ref="Q3:T18" xr:uid="{27158F51-A707-4171-8A04-81FB0AABCBA5}"/>
  <tableColumns count="4">
    <tableColumn id="1" xr3:uid="{02688061-6A8C-4E23-B7FF-D00CD8B58CAC}" name="Customer ID" dataDxfId="7"/>
    <tableColumn id="2" xr3:uid="{771678B6-DB44-426B-9874-B4E421A440D5}" name="Gedner" dataDxfId="6"/>
    <tableColumn id="3" xr3:uid="{B0D41C62-587E-494D-B49A-603F2C05F8D3}" name="Age" dataDxfId="5"/>
    <tableColumn id="4" xr3:uid="{663F92D6-FE31-4D81-9E01-8D066DDC8A88}" name="City" dataDxfId="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0EDEA-32BB-4109-966D-5F57929E0A45}">
  <dimension ref="A3:I100"/>
  <sheetViews>
    <sheetView workbookViewId="0">
      <selection activeCell="I15" sqref="I15"/>
    </sheetView>
  </sheetViews>
  <sheetFormatPr defaultRowHeight="13.8" x14ac:dyDescent="0.25"/>
  <cols>
    <col min="1" max="1" width="13.09765625" bestFit="1" customWidth="1"/>
    <col min="2" max="2" width="9.8984375" bestFit="1" customWidth="1"/>
    <col min="3" max="3" width="10.8984375" bestFit="1" customWidth="1"/>
    <col min="4" max="4" width="10.5" bestFit="1" customWidth="1"/>
    <col min="5" max="5" width="13.09765625" bestFit="1" customWidth="1"/>
    <col min="6" max="6" width="9.8984375" bestFit="1" customWidth="1"/>
    <col min="7" max="7" width="11" bestFit="1" customWidth="1"/>
    <col min="8" max="8" width="19.8984375" customWidth="1"/>
    <col min="9" max="330" width="16.09765625" bestFit="1" customWidth="1"/>
    <col min="331" max="331" width="11" bestFit="1" customWidth="1"/>
  </cols>
  <sheetData>
    <row r="3" spans="1:9" x14ac:dyDescent="0.25">
      <c r="A3" t="s">
        <v>1044</v>
      </c>
      <c r="B3" t="s">
        <v>1045</v>
      </c>
      <c r="C3" t="s">
        <v>1046</v>
      </c>
      <c r="D3" t="s">
        <v>1047</v>
      </c>
      <c r="E3" t="s">
        <v>1048</v>
      </c>
      <c r="H3" t="s">
        <v>1077</v>
      </c>
    </row>
    <row r="4" spans="1:9" x14ac:dyDescent="0.25">
      <c r="A4" s="23">
        <v>1000</v>
      </c>
      <c r="B4" s="24">
        <v>96623</v>
      </c>
      <c r="C4" s="23">
        <v>89850</v>
      </c>
      <c r="D4" s="25">
        <v>3.8854000000000033</v>
      </c>
      <c r="E4" s="23">
        <v>307</v>
      </c>
      <c r="H4" t="s">
        <v>1078</v>
      </c>
      <c r="I4" s="41">
        <f>A11/A4</f>
        <v>0.20699999999999999</v>
      </c>
    </row>
    <row r="5" spans="1:9" x14ac:dyDescent="0.25">
      <c r="H5" t="s">
        <v>1071</v>
      </c>
      <c r="I5">
        <f>_xlfn.XLOOKUP(A50,E41:E45,F41:F45)</f>
        <v>207</v>
      </c>
    </row>
    <row r="6" spans="1:9" x14ac:dyDescent="0.25">
      <c r="H6" t="s">
        <v>1072</v>
      </c>
      <c r="I6">
        <f>_xlfn.XLOOKUP(A50,E41:E45,G41:G45)</f>
        <v>20872</v>
      </c>
    </row>
    <row r="10" spans="1:9" x14ac:dyDescent="0.25">
      <c r="A10" t="s">
        <v>1044</v>
      </c>
      <c r="B10" t="s">
        <v>1045</v>
      </c>
      <c r="C10" t="s">
        <v>1046</v>
      </c>
      <c r="D10" t="s">
        <v>1047</v>
      </c>
      <c r="E10" t="s">
        <v>1048</v>
      </c>
      <c r="H10" t="s">
        <v>1079</v>
      </c>
      <c r="I10">
        <f>_xlfn.RANK.AVG(I5,F41:F45)</f>
        <v>2</v>
      </c>
    </row>
    <row r="11" spans="1:9" x14ac:dyDescent="0.25">
      <c r="A11" s="23">
        <v>207</v>
      </c>
      <c r="B11" s="47">
        <v>20872</v>
      </c>
      <c r="C11" s="23">
        <v>17700</v>
      </c>
      <c r="D11" s="25">
        <v>3.8589371980676304</v>
      </c>
      <c r="E11" s="23">
        <v>60</v>
      </c>
      <c r="H11" t="s">
        <v>1080</v>
      </c>
      <c r="I11">
        <f>_xlfn.RANK.AVG(I6,G41:G45)</f>
        <v>1</v>
      </c>
    </row>
    <row r="13" spans="1:9" x14ac:dyDescent="0.25">
      <c r="H13" t="s">
        <v>1081</v>
      </c>
    </row>
    <row r="14" spans="1:9" x14ac:dyDescent="0.25">
      <c r="I14" t="str">
        <f>"% of calls:"&amp;TEXT(I4,"0%")</f>
        <v>% of calls:21%</v>
      </c>
    </row>
    <row r="15" spans="1:9" x14ac:dyDescent="0.25">
      <c r="I15" t="str">
        <f>IF(COUNTA(A50:A54)&gt;1,"","Call Rank:"&amp;I10)</f>
        <v>Call Rank:2</v>
      </c>
    </row>
    <row r="16" spans="1:9" x14ac:dyDescent="0.25">
      <c r="I16" t="str">
        <f>IF(COUNTA(A50:A54)&gt;1,"","Amount Rank:"&amp;I11)</f>
        <v>Amount Rank:1</v>
      </c>
    </row>
    <row r="17" spans="1:9" x14ac:dyDescent="0.25">
      <c r="I17" t="str">
        <f>IF(COUNTA(A50:A54)&gt;1,"",_xlfn.XLOOKUP(A50,Assets!E3:E7,Assets!F3:F7))</f>
        <v>Mrs.Hima</v>
      </c>
    </row>
    <row r="21" spans="1:9" x14ac:dyDescent="0.25">
      <c r="A21" s="21" t="s">
        <v>1042</v>
      </c>
      <c r="B21" t="s">
        <v>1044</v>
      </c>
      <c r="C21" t="s">
        <v>1061</v>
      </c>
      <c r="E21" s="21" t="s">
        <v>1042</v>
      </c>
      <c r="F21" t="s">
        <v>1044</v>
      </c>
    </row>
    <row r="22" spans="1:9" x14ac:dyDescent="0.25">
      <c r="A22" s="22" t="s">
        <v>1049</v>
      </c>
      <c r="B22" s="23">
        <v>13</v>
      </c>
      <c r="C22" s="23">
        <v>13</v>
      </c>
      <c r="E22" s="22" t="s">
        <v>1066</v>
      </c>
      <c r="F22" s="23">
        <v>30</v>
      </c>
    </row>
    <row r="23" spans="1:9" x14ac:dyDescent="0.25">
      <c r="A23" s="22" t="s">
        <v>1050</v>
      </c>
      <c r="B23" s="23">
        <v>13</v>
      </c>
      <c r="C23" s="23">
        <v>13</v>
      </c>
      <c r="E23" s="22" t="s">
        <v>1067</v>
      </c>
      <c r="F23" s="23">
        <v>34</v>
      </c>
    </row>
    <row r="24" spans="1:9" x14ac:dyDescent="0.25">
      <c r="A24" s="22" t="s">
        <v>1051</v>
      </c>
      <c r="B24" s="23">
        <v>28</v>
      </c>
      <c r="C24" s="23">
        <v>28</v>
      </c>
      <c r="E24" s="22" t="s">
        <v>1068</v>
      </c>
      <c r="F24" s="23">
        <v>26</v>
      </c>
    </row>
    <row r="25" spans="1:9" x14ac:dyDescent="0.25">
      <c r="A25" s="22" t="s">
        <v>1052</v>
      </c>
      <c r="B25" s="23">
        <v>24</v>
      </c>
      <c r="C25" s="23">
        <v>24</v>
      </c>
      <c r="E25" s="22" t="s">
        <v>1062</v>
      </c>
      <c r="F25" s="23">
        <v>38</v>
      </c>
    </row>
    <row r="26" spans="1:9" x14ac:dyDescent="0.25">
      <c r="A26" s="22" t="s">
        <v>1053</v>
      </c>
      <c r="B26" s="23">
        <v>23</v>
      </c>
      <c r="C26" s="23">
        <v>23</v>
      </c>
      <c r="E26" s="22" t="s">
        <v>1063</v>
      </c>
      <c r="F26" s="23">
        <v>27</v>
      </c>
    </row>
    <row r="27" spans="1:9" x14ac:dyDescent="0.25">
      <c r="A27" s="22" t="s">
        <v>1054</v>
      </c>
      <c r="B27" s="23">
        <v>17</v>
      </c>
      <c r="C27" s="23">
        <v>17</v>
      </c>
      <c r="E27" s="22" t="s">
        <v>1064</v>
      </c>
      <c r="F27" s="23">
        <v>27</v>
      </c>
    </row>
    <row r="28" spans="1:9" x14ac:dyDescent="0.25">
      <c r="A28" s="22" t="s">
        <v>1055</v>
      </c>
      <c r="B28" s="23">
        <v>11</v>
      </c>
      <c r="C28" s="23">
        <v>11</v>
      </c>
      <c r="E28" s="22" t="s">
        <v>1065</v>
      </c>
      <c r="F28" s="23">
        <v>25</v>
      </c>
    </row>
    <row r="29" spans="1:9" x14ac:dyDescent="0.25">
      <c r="A29" s="22" t="s">
        <v>1056</v>
      </c>
      <c r="B29" s="23">
        <v>11</v>
      </c>
      <c r="C29" s="23">
        <v>11</v>
      </c>
      <c r="E29" s="22" t="s">
        <v>1043</v>
      </c>
      <c r="F29" s="23">
        <v>207</v>
      </c>
    </row>
    <row r="30" spans="1:9" x14ac:dyDescent="0.25">
      <c r="A30" s="22" t="s">
        <v>1057</v>
      </c>
      <c r="B30" s="23">
        <v>14</v>
      </c>
      <c r="C30" s="23">
        <v>14</v>
      </c>
    </row>
    <row r="31" spans="1:9" x14ac:dyDescent="0.25">
      <c r="A31" s="22" t="s">
        <v>1058</v>
      </c>
      <c r="B31" s="23">
        <v>30</v>
      </c>
      <c r="C31" s="23">
        <v>30</v>
      </c>
    </row>
    <row r="32" spans="1:9" x14ac:dyDescent="0.25">
      <c r="A32" s="22" t="s">
        <v>1059</v>
      </c>
      <c r="B32" s="23">
        <v>14</v>
      </c>
      <c r="C32" s="23">
        <v>14</v>
      </c>
    </row>
    <row r="33" spans="1:9" x14ac:dyDescent="0.25">
      <c r="A33" s="22" t="s">
        <v>1060</v>
      </c>
      <c r="B33" s="23">
        <v>9</v>
      </c>
      <c r="C33" s="23">
        <v>9</v>
      </c>
    </row>
    <row r="34" spans="1:9" x14ac:dyDescent="0.25">
      <c r="A34" s="22" t="s">
        <v>1043</v>
      </c>
      <c r="B34" s="23">
        <v>207</v>
      </c>
      <c r="C34" s="23">
        <v>207</v>
      </c>
    </row>
    <row r="38" spans="1:9" x14ac:dyDescent="0.25">
      <c r="H38" t="s">
        <v>1075</v>
      </c>
      <c r="I38" t="str">
        <f>A50</f>
        <v>R03</v>
      </c>
    </row>
    <row r="39" spans="1:9" x14ac:dyDescent="0.25">
      <c r="A39" s="21" t="s">
        <v>1042</v>
      </c>
      <c r="B39" t="s">
        <v>1044</v>
      </c>
      <c r="C39" t="s">
        <v>1045</v>
      </c>
      <c r="E39" t="s">
        <v>1069</v>
      </c>
    </row>
    <row r="40" spans="1:9" x14ac:dyDescent="0.25">
      <c r="A40" s="22" t="s">
        <v>11</v>
      </c>
      <c r="B40" s="23">
        <v>189</v>
      </c>
      <c r="C40" s="24">
        <v>18415</v>
      </c>
      <c r="E40" t="s">
        <v>1070</v>
      </c>
      <c r="F40" t="s">
        <v>1071</v>
      </c>
      <c r="G40" t="s">
        <v>1072</v>
      </c>
      <c r="H40" t="s">
        <v>1073</v>
      </c>
      <c r="I40" t="s">
        <v>1074</v>
      </c>
    </row>
    <row r="41" spans="1:9" x14ac:dyDescent="0.25">
      <c r="A41" s="22" t="s">
        <v>9</v>
      </c>
      <c r="B41" s="23">
        <v>218</v>
      </c>
      <c r="C41" s="24">
        <v>20581</v>
      </c>
      <c r="E41" t="str" cm="1">
        <f t="array" ref="E41:G45">A40:C44</f>
        <v>R01</v>
      </c>
      <c r="F41">
        <v>189</v>
      </c>
      <c r="G41" s="28">
        <v>18415</v>
      </c>
      <c r="H41" t="e">
        <f>IF(E41=$I$38, F41, NA())</f>
        <v>#N/A</v>
      </c>
      <c r="I41" t="e">
        <f>IF(E41=$I$38,G41,NA())</f>
        <v>#N/A</v>
      </c>
    </row>
    <row r="42" spans="1:9" x14ac:dyDescent="0.25">
      <c r="A42" s="22" t="s">
        <v>6</v>
      </c>
      <c r="B42" s="23">
        <v>207</v>
      </c>
      <c r="C42" s="24">
        <v>20872</v>
      </c>
      <c r="E42" t="str">
        <v>R02</v>
      </c>
      <c r="F42">
        <v>218</v>
      </c>
      <c r="G42" s="28">
        <v>20581</v>
      </c>
      <c r="H42" t="e">
        <f t="shared" ref="H42:H45" si="0">IF(E42=$I$38, F42, NA())</f>
        <v>#N/A</v>
      </c>
      <c r="I42" t="e">
        <f t="shared" ref="I42:I45" si="1">IF(E42=$I$38,G42,NA())</f>
        <v>#N/A</v>
      </c>
    </row>
    <row r="43" spans="1:9" x14ac:dyDescent="0.25">
      <c r="A43" s="22" t="s">
        <v>13</v>
      </c>
      <c r="B43" s="23">
        <v>186</v>
      </c>
      <c r="C43" s="24">
        <v>16651</v>
      </c>
      <c r="E43" t="str">
        <v>R03</v>
      </c>
      <c r="F43">
        <v>207</v>
      </c>
      <c r="G43" s="28">
        <v>20872</v>
      </c>
      <c r="H43">
        <f t="shared" si="0"/>
        <v>207</v>
      </c>
      <c r="I43">
        <f t="shared" si="1"/>
        <v>20872</v>
      </c>
    </row>
    <row r="44" spans="1:9" x14ac:dyDescent="0.25">
      <c r="A44" s="22" t="s">
        <v>10</v>
      </c>
      <c r="B44" s="23">
        <v>200</v>
      </c>
      <c r="C44" s="24">
        <v>20104</v>
      </c>
      <c r="E44" t="str">
        <v>R04</v>
      </c>
      <c r="F44">
        <v>186</v>
      </c>
      <c r="G44" s="28">
        <v>16651</v>
      </c>
      <c r="H44" t="e">
        <f t="shared" si="0"/>
        <v>#N/A</v>
      </c>
      <c r="I44" t="e">
        <f t="shared" si="1"/>
        <v>#N/A</v>
      </c>
    </row>
    <row r="45" spans="1:9" x14ac:dyDescent="0.25">
      <c r="A45" s="22" t="s">
        <v>1043</v>
      </c>
      <c r="B45" s="23">
        <v>1000</v>
      </c>
      <c r="C45" s="24">
        <v>96623</v>
      </c>
      <c r="E45" t="str">
        <v>R05</v>
      </c>
      <c r="F45">
        <v>200</v>
      </c>
      <c r="G45" s="28">
        <v>20104</v>
      </c>
      <c r="H45" t="e">
        <f t="shared" si="0"/>
        <v>#N/A</v>
      </c>
      <c r="I45" t="e">
        <f t="shared" si="1"/>
        <v>#N/A</v>
      </c>
    </row>
    <row r="49" spans="1:4" x14ac:dyDescent="0.25">
      <c r="A49" s="21" t="s">
        <v>1042</v>
      </c>
    </row>
    <row r="50" spans="1:4" x14ac:dyDescent="0.25">
      <c r="A50" s="26" t="s">
        <v>6</v>
      </c>
    </row>
    <row r="60" spans="1:4" x14ac:dyDescent="0.25">
      <c r="A60" s="21" t="s">
        <v>1044</v>
      </c>
      <c r="B60" s="21" t="s">
        <v>1076</v>
      </c>
    </row>
    <row r="61" spans="1:4" x14ac:dyDescent="0.25">
      <c r="A61" s="21" t="s">
        <v>1042</v>
      </c>
      <c r="B61" t="s">
        <v>999</v>
      </c>
      <c r="C61" t="s">
        <v>998</v>
      </c>
      <c r="D61" t="s">
        <v>1043</v>
      </c>
    </row>
    <row r="62" spans="1:4" x14ac:dyDescent="0.25">
      <c r="A62" s="22" t="s">
        <v>1002</v>
      </c>
      <c r="B62" s="23">
        <v>144</v>
      </c>
      <c r="C62" s="23">
        <v>132</v>
      </c>
      <c r="D62" s="23">
        <v>276</v>
      </c>
    </row>
    <row r="63" spans="1:4" x14ac:dyDescent="0.25">
      <c r="A63" s="22" t="s">
        <v>1001</v>
      </c>
      <c r="B63" s="23">
        <v>326</v>
      </c>
      <c r="C63" s="23">
        <v>63</v>
      </c>
      <c r="D63" s="23">
        <v>389</v>
      </c>
    </row>
    <row r="64" spans="1:4" x14ac:dyDescent="0.25">
      <c r="A64" s="22" t="s">
        <v>1000</v>
      </c>
      <c r="B64" s="23">
        <v>129</v>
      </c>
      <c r="C64" s="23">
        <v>206</v>
      </c>
      <c r="D64" s="23">
        <v>335</v>
      </c>
    </row>
    <row r="65" spans="1:4" x14ac:dyDescent="0.25">
      <c r="A65" s="22" t="s">
        <v>1043</v>
      </c>
      <c r="B65" s="23">
        <v>599</v>
      </c>
      <c r="C65" s="23">
        <v>401</v>
      </c>
      <c r="D65" s="23">
        <v>1000</v>
      </c>
    </row>
    <row r="70" spans="1:4" x14ac:dyDescent="0.25">
      <c r="A70" s="21" t="s">
        <v>1042</v>
      </c>
      <c r="B70" t="s">
        <v>1044</v>
      </c>
    </row>
    <row r="71" spans="1:4" x14ac:dyDescent="0.25">
      <c r="A71" s="22">
        <v>0</v>
      </c>
      <c r="B71" s="23">
        <v>1</v>
      </c>
    </row>
    <row r="72" spans="1:4" x14ac:dyDescent="0.25">
      <c r="A72" s="22">
        <v>1</v>
      </c>
      <c r="B72" s="23">
        <v>1</v>
      </c>
    </row>
    <row r="73" spans="1:4" x14ac:dyDescent="0.25">
      <c r="A73" s="22">
        <v>2</v>
      </c>
      <c r="B73" s="23">
        <v>11</v>
      </c>
    </row>
    <row r="74" spans="1:4" x14ac:dyDescent="0.25">
      <c r="A74" s="22">
        <v>3</v>
      </c>
      <c r="B74" s="23">
        <v>46</v>
      </c>
    </row>
    <row r="75" spans="1:4" x14ac:dyDescent="0.25">
      <c r="A75" s="22">
        <v>4</v>
      </c>
      <c r="B75" s="23">
        <v>88</v>
      </c>
    </row>
    <row r="76" spans="1:4" x14ac:dyDescent="0.25">
      <c r="A76" s="22">
        <v>5</v>
      </c>
      <c r="B76" s="23">
        <v>60</v>
      </c>
    </row>
    <row r="77" spans="1:4" x14ac:dyDescent="0.25">
      <c r="A77" s="22" t="s">
        <v>1043</v>
      </c>
      <c r="B77" s="23">
        <v>207</v>
      </c>
    </row>
    <row r="81" spans="1:7" x14ac:dyDescent="0.25">
      <c r="A81" s="21" t="s">
        <v>1045</v>
      </c>
      <c r="B81" s="21" t="s">
        <v>1076</v>
      </c>
    </row>
    <row r="82" spans="1:7" x14ac:dyDescent="0.25">
      <c r="A82" s="21" t="s">
        <v>1042</v>
      </c>
      <c r="B82" t="s">
        <v>11</v>
      </c>
      <c r="C82" t="s">
        <v>9</v>
      </c>
      <c r="D82" t="s">
        <v>6</v>
      </c>
      <c r="E82" t="s">
        <v>13</v>
      </c>
      <c r="F82" t="s">
        <v>10</v>
      </c>
      <c r="G82" t="s">
        <v>1043</v>
      </c>
    </row>
    <row r="83" spans="1:7" x14ac:dyDescent="0.25">
      <c r="A83" s="22" t="s">
        <v>1002</v>
      </c>
    </row>
    <row r="84" spans="1:7" x14ac:dyDescent="0.25">
      <c r="A84" s="27" t="s">
        <v>20</v>
      </c>
      <c r="B84" s="24">
        <v>891</v>
      </c>
      <c r="C84" s="24">
        <v>1332</v>
      </c>
      <c r="D84" s="24">
        <v>1282</v>
      </c>
      <c r="E84" s="24">
        <v>739</v>
      </c>
      <c r="F84" s="24">
        <v>560</v>
      </c>
      <c r="G84" s="24">
        <v>4804</v>
      </c>
    </row>
    <row r="85" spans="1:7" x14ac:dyDescent="0.25">
      <c r="A85" s="27" t="s">
        <v>12</v>
      </c>
      <c r="B85" s="24">
        <v>1991</v>
      </c>
      <c r="C85" s="24">
        <v>1886</v>
      </c>
      <c r="D85" s="24">
        <v>1206</v>
      </c>
      <c r="E85" s="24">
        <v>884</v>
      </c>
      <c r="F85" s="24">
        <v>1722</v>
      </c>
      <c r="G85" s="24">
        <v>7689</v>
      </c>
    </row>
    <row r="86" spans="1:7" x14ac:dyDescent="0.25">
      <c r="A86" s="27" t="s">
        <v>8</v>
      </c>
      <c r="B86" s="24">
        <v>1163</v>
      </c>
      <c r="C86" s="24">
        <v>1180</v>
      </c>
      <c r="D86" s="24">
        <v>1616</v>
      </c>
      <c r="E86" s="24">
        <v>1043</v>
      </c>
      <c r="F86" s="24">
        <v>1747</v>
      </c>
      <c r="G86" s="24">
        <v>6749</v>
      </c>
    </row>
    <row r="87" spans="1:7" x14ac:dyDescent="0.25">
      <c r="A87" s="27" t="s">
        <v>16</v>
      </c>
      <c r="B87" s="24">
        <v>1438</v>
      </c>
      <c r="C87" s="24">
        <v>1616</v>
      </c>
      <c r="D87" s="24">
        <v>866</v>
      </c>
      <c r="E87" s="24">
        <v>829</v>
      </c>
      <c r="F87" s="24">
        <v>2070</v>
      </c>
      <c r="G87" s="24">
        <v>6819</v>
      </c>
    </row>
    <row r="88" spans="1:7" x14ac:dyDescent="0.25">
      <c r="A88" s="22" t="s">
        <v>1001</v>
      </c>
    </row>
    <row r="89" spans="1:7" x14ac:dyDescent="0.25">
      <c r="A89" s="27" t="s">
        <v>24</v>
      </c>
      <c r="B89" s="24">
        <v>1233</v>
      </c>
      <c r="C89" s="24">
        <v>223</v>
      </c>
      <c r="D89" s="24">
        <v>1680</v>
      </c>
      <c r="E89" s="24">
        <v>990</v>
      </c>
      <c r="F89" s="24">
        <v>1508</v>
      </c>
      <c r="G89" s="24">
        <v>5634</v>
      </c>
    </row>
    <row r="90" spans="1:7" x14ac:dyDescent="0.25">
      <c r="A90" s="27" t="s">
        <v>15</v>
      </c>
      <c r="B90" s="24">
        <v>1598</v>
      </c>
      <c r="C90" s="24">
        <v>1907</v>
      </c>
      <c r="D90" s="24">
        <v>869</v>
      </c>
      <c r="E90" s="24">
        <v>1426</v>
      </c>
      <c r="F90" s="24">
        <v>1416</v>
      </c>
      <c r="G90" s="24">
        <v>7216</v>
      </c>
    </row>
    <row r="91" spans="1:7" x14ac:dyDescent="0.25">
      <c r="A91" s="27" t="s">
        <v>5</v>
      </c>
      <c r="B91" s="24">
        <v>900</v>
      </c>
      <c r="C91" s="24">
        <v>1016</v>
      </c>
      <c r="D91" s="24">
        <v>960</v>
      </c>
      <c r="E91" s="24">
        <v>940</v>
      </c>
      <c r="F91" s="24">
        <v>1193</v>
      </c>
      <c r="G91" s="24">
        <v>5009</v>
      </c>
    </row>
    <row r="92" spans="1:7" x14ac:dyDescent="0.25">
      <c r="A92" s="27" t="s">
        <v>18</v>
      </c>
      <c r="B92" s="24">
        <v>900</v>
      </c>
      <c r="C92" s="24">
        <v>1470</v>
      </c>
      <c r="D92" s="24">
        <v>1617</v>
      </c>
      <c r="E92" s="24">
        <v>1314</v>
      </c>
      <c r="F92" s="24">
        <v>941</v>
      </c>
      <c r="G92" s="24">
        <v>6242</v>
      </c>
    </row>
    <row r="93" spans="1:7" x14ac:dyDescent="0.25">
      <c r="A93" s="27" t="s">
        <v>14</v>
      </c>
      <c r="B93" s="24">
        <v>1255</v>
      </c>
      <c r="C93" s="24">
        <v>516</v>
      </c>
      <c r="D93" s="24">
        <v>1874</v>
      </c>
      <c r="E93" s="24">
        <v>1863</v>
      </c>
      <c r="F93" s="24">
        <v>1722</v>
      </c>
      <c r="G93" s="24">
        <v>7230</v>
      </c>
    </row>
    <row r="94" spans="1:7" x14ac:dyDescent="0.25">
      <c r="A94" s="27" t="s">
        <v>19</v>
      </c>
      <c r="B94" s="24">
        <v>1138</v>
      </c>
      <c r="C94" s="24">
        <v>1898</v>
      </c>
      <c r="D94" s="24">
        <v>1482</v>
      </c>
      <c r="E94" s="24">
        <v>846</v>
      </c>
      <c r="F94" s="24">
        <v>1154</v>
      </c>
      <c r="G94" s="24">
        <v>6518</v>
      </c>
    </row>
    <row r="95" spans="1:7" x14ac:dyDescent="0.25">
      <c r="A95" s="22" t="s">
        <v>1000</v>
      </c>
    </row>
    <row r="96" spans="1:7" x14ac:dyDescent="0.25">
      <c r="A96" s="27" t="s">
        <v>17</v>
      </c>
      <c r="B96" s="24">
        <v>1655</v>
      </c>
      <c r="C96" s="24">
        <v>805</v>
      </c>
      <c r="D96" s="24">
        <v>2263</v>
      </c>
      <c r="E96" s="24">
        <v>987</v>
      </c>
      <c r="F96" s="24">
        <v>1075</v>
      </c>
      <c r="G96" s="24">
        <v>6785</v>
      </c>
    </row>
    <row r="97" spans="1:7" x14ac:dyDescent="0.25">
      <c r="A97" s="27" t="s">
        <v>23</v>
      </c>
      <c r="B97" s="24">
        <v>1104</v>
      </c>
      <c r="C97" s="24">
        <v>2280</v>
      </c>
      <c r="D97" s="24">
        <v>1445</v>
      </c>
      <c r="E97" s="24">
        <v>1722</v>
      </c>
      <c r="F97" s="24">
        <v>1196</v>
      </c>
      <c r="G97" s="24">
        <v>7747</v>
      </c>
    </row>
    <row r="98" spans="1:7" x14ac:dyDescent="0.25">
      <c r="A98" s="27" t="s">
        <v>7</v>
      </c>
      <c r="B98" s="24">
        <v>372</v>
      </c>
      <c r="C98" s="24">
        <v>1818</v>
      </c>
      <c r="D98" s="24">
        <v>1346</v>
      </c>
      <c r="E98" s="24">
        <v>1156</v>
      </c>
      <c r="F98" s="24">
        <v>1484</v>
      </c>
      <c r="G98" s="24">
        <v>6176</v>
      </c>
    </row>
    <row r="99" spans="1:7" x14ac:dyDescent="0.25">
      <c r="A99" s="27" t="s">
        <v>22</v>
      </c>
      <c r="B99" s="24">
        <v>1415</v>
      </c>
      <c r="C99" s="24">
        <v>1271</v>
      </c>
      <c r="D99" s="24">
        <v>1214</v>
      </c>
      <c r="E99" s="24">
        <v>1135</v>
      </c>
      <c r="F99" s="24">
        <v>1566</v>
      </c>
      <c r="G99" s="24">
        <v>6601</v>
      </c>
    </row>
    <row r="100" spans="1:7" x14ac:dyDescent="0.25">
      <c r="A100" s="27" t="s">
        <v>21</v>
      </c>
      <c r="B100" s="24">
        <v>1362</v>
      </c>
      <c r="C100" s="24">
        <v>1363</v>
      </c>
      <c r="D100" s="24">
        <v>1152</v>
      </c>
      <c r="E100" s="24">
        <v>777</v>
      </c>
      <c r="F100" s="24">
        <v>750</v>
      </c>
      <c r="G100" s="24">
        <v>5404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C370" zoomScale="115" zoomScaleNormal="115" workbookViewId="0">
      <selection activeCell="I3" sqref="I3"/>
    </sheetView>
  </sheetViews>
  <sheetFormatPr defaultRowHeight="13.8" x14ac:dyDescent="0.25"/>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45658</v>
      </c>
      <c r="G4">
        <v>128</v>
      </c>
      <c r="H4">
        <v>4.9000000000000004</v>
      </c>
      <c r="I4">
        <f>IF(MONTH(calls[[#This Row],[Date of Call]])&lt;=6, YEAR(calls[[#This Row],[Date of Call]]), YEAR(calls[[#This Row],[Date of Call]])+1)</f>
        <v>2025</v>
      </c>
      <c r="J4" t="str">
        <f>TEXT(calls[[#This Row],[Date of Call]],"DDDD")</f>
        <v>Wednesday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45658</v>
      </c>
      <c r="G5">
        <v>135</v>
      </c>
      <c r="H5">
        <v>2.9</v>
      </c>
      <c r="I5">
        <f>IF(MONTH(calls[[#This Row],[Date of Call]])&lt;=6, YEAR(calls[[#This Row],[Date of Call]]), YEAR(calls[[#This Row],[Date of Call]])+1)</f>
        <v>2025</v>
      </c>
      <c r="J5" t="str">
        <f>TEXT(calls[[#This Row],[Date of Call]],"DDDD")</f>
        <v>Wednesday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45658</v>
      </c>
      <c r="G6">
        <v>66</v>
      </c>
      <c r="H6">
        <v>4.7</v>
      </c>
      <c r="I6">
        <f>IF(MONTH(calls[[#This Row],[Date of Call]])&lt;=6, YEAR(calls[[#This Row],[Date of Call]]), YEAR(calls[[#This Row],[Date of Call]])+1)</f>
        <v>2025</v>
      </c>
      <c r="J6" t="str">
        <f>TEXT(calls[[#This Row],[Date of Call]],"DDDD")</f>
        <v>Wednesday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45658</v>
      </c>
      <c r="G7">
        <v>22</v>
      </c>
      <c r="H7">
        <v>2.9</v>
      </c>
      <c r="I7">
        <f>IF(MONTH(calls[[#This Row],[Date of Call]])&lt;=6, YEAR(calls[[#This Row],[Date of Call]]), YEAR(calls[[#This Row],[Date of Call]])+1)</f>
        <v>2025</v>
      </c>
      <c r="J7" t="str">
        <f>TEXT(calls[[#This Row],[Date of Call]],"DDDD")</f>
        <v>Wednesday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45659</v>
      </c>
      <c r="G8">
        <v>31</v>
      </c>
      <c r="H8">
        <v>2.8</v>
      </c>
      <c r="I8">
        <f>IF(MONTH(calls[[#This Row],[Date of Call]])&lt;=6, YEAR(calls[[#This Row],[Date of Call]]), YEAR(calls[[#This Row],[Date of Call]])+1)</f>
        <v>2025</v>
      </c>
      <c r="J8" t="str">
        <f>TEXT(calls[[#This Row],[Date of Call]],"DDDD")</f>
        <v>Thursday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45660</v>
      </c>
      <c r="G9">
        <v>135</v>
      </c>
      <c r="H9">
        <v>4.8</v>
      </c>
      <c r="I9">
        <f>IF(MONTH(calls[[#This Row],[Date of Call]])&lt;=6, YEAR(calls[[#This Row],[Date of Call]]), YEAR(calls[[#This Row],[Date of Call]])+1)</f>
        <v>2025</v>
      </c>
      <c r="J9" t="str">
        <f>TEXT(calls[[#This Row],[Date of Call]],"DDDD")</f>
        <v>Friday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45660</v>
      </c>
      <c r="G10">
        <v>60</v>
      </c>
      <c r="H10">
        <v>4.7</v>
      </c>
      <c r="I10">
        <f>IF(MONTH(calls[[#This Row],[Date of Call]])&lt;=6, YEAR(calls[[#This Row],[Date of Call]]), YEAR(calls[[#This Row],[Date of Call]])+1)</f>
        <v>2025</v>
      </c>
      <c r="J10" t="str">
        <f>TEXT(calls[[#This Row],[Date of Call]],"DDDD")</f>
        <v>Friday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45660</v>
      </c>
      <c r="G11">
        <v>148</v>
      </c>
      <c r="H11">
        <v>4.4000000000000004</v>
      </c>
      <c r="I11">
        <f>IF(MONTH(calls[[#This Row],[Date of Call]])&lt;=6, YEAR(calls[[#This Row],[Date of Call]]), YEAR(calls[[#This Row],[Date of Call]])+1)</f>
        <v>2025</v>
      </c>
      <c r="J11" t="str">
        <f>TEXT(calls[[#This Row],[Date of Call]],"DDDD")</f>
        <v>Friday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45660</v>
      </c>
      <c r="G12">
        <v>135</v>
      </c>
      <c r="H12">
        <v>3.6</v>
      </c>
      <c r="I12">
        <f>IF(MONTH(calls[[#This Row],[Date of Call]])&lt;=6, YEAR(calls[[#This Row],[Date of Call]]), YEAR(calls[[#This Row],[Date of Call]])+1)</f>
        <v>2025</v>
      </c>
      <c r="J12" t="str">
        <f>TEXT(calls[[#This Row],[Date of Call]],"DDDD")</f>
        <v>Friday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45660</v>
      </c>
      <c r="G13">
        <v>105</v>
      </c>
      <c r="H13">
        <v>2.9</v>
      </c>
      <c r="I13">
        <f>IF(MONTH(calls[[#This Row],[Date of Call]])&lt;=6, YEAR(calls[[#This Row],[Date of Call]]), YEAR(calls[[#This Row],[Date of Call]])+1)</f>
        <v>2025</v>
      </c>
      <c r="J13" t="str">
        <f>TEXT(calls[[#This Row],[Date of Call]],"DDDD")</f>
        <v>Friday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45660</v>
      </c>
      <c r="G14">
        <v>69</v>
      </c>
      <c r="H14">
        <v>4.9000000000000004</v>
      </c>
      <c r="I14">
        <f>IF(MONTH(calls[[#This Row],[Date of Call]])&lt;=6, YEAR(calls[[#This Row],[Date of Call]]), YEAR(calls[[#This Row],[Date of Call]])+1)</f>
        <v>2025</v>
      </c>
      <c r="J14" t="str">
        <f>TEXT(calls[[#This Row],[Date of Call]],"DDDD")</f>
        <v>Friday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45660</v>
      </c>
      <c r="G15">
        <v>46</v>
      </c>
      <c r="H15">
        <v>3.4</v>
      </c>
      <c r="I15">
        <f>IF(MONTH(calls[[#This Row],[Date of Call]])&lt;=6, YEAR(calls[[#This Row],[Date of Call]]), YEAR(calls[[#This Row],[Date of Call]])+1)</f>
        <v>2025</v>
      </c>
      <c r="J15" t="str">
        <f>TEXT(calls[[#This Row],[Date of Call]],"DDDD")</f>
        <v>Friday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45661</v>
      </c>
      <c r="G16">
        <v>108</v>
      </c>
      <c r="H16">
        <v>3.5</v>
      </c>
      <c r="I16">
        <f>IF(MONTH(calls[[#This Row],[Date of Call]])&lt;=6, YEAR(calls[[#This Row],[Date of Call]]), YEAR(calls[[#This Row],[Date of Call]])+1)</f>
        <v>2025</v>
      </c>
      <c r="J16" t="str">
        <f>TEXT(calls[[#This Row],[Date of Call]],"DDDD")</f>
        <v>Saturday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45661</v>
      </c>
      <c r="G17">
        <v>96</v>
      </c>
      <c r="H17">
        <v>4</v>
      </c>
      <c r="I17">
        <f>IF(MONTH(calls[[#This Row],[Date of Call]])&lt;=6, YEAR(calls[[#This Row],[Date of Call]]), YEAR(calls[[#This Row],[Date of Call]])+1)</f>
        <v>2025</v>
      </c>
      <c r="J17" t="str">
        <f>TEXT(calls[[#This Row],[Date of Call]],"DDDD")</f>
        <v>Saturday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45661</v>
      </c>
      <c r="G18">
        <v>68</v>
      </c>
      <c r="H18">
        <v>4.9000000000000004</v>
      </c>
      <c r="I18">
        <f>IF(MONTH(calls[[#This Row],[Date of Call]])&lt;=6, YEAR(calls[[#This Row],[Date of Call]]), YEAR(calls[[#This Row],[Date of Call]])+1)</f>
        <v>2025</v>
      </c>
      <c r="J18" t="str">
        <f>TEXT(calls[[#This Row],[Date of Call]],"DDDD")</f>
        <v>Saturday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45662</v>
      </c>
      <c r="G19">
        <v>24</v>
      </c>
      <c r="H19">
        <v>4.8</v>
      </c>
      <c r="I19">
        <f>IF(MONTH(calls[[#This Row],[Date of Call]])&lt;=6, YEAR(calls[[#This Row],[Date of Call]]), YEAR(calls[[#This Row],[Date of Call]])+1)</f>
        <v>2025</v>
      </c>
      <c r="J19" t="str">
        <f>TEXT(calls[[#This Row],[Date of Call]],"DDDD")</f>
        <v>Sunday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45662</v>
      </c>
      <c r="G20">
        <v>195</v>
      </c>
      <c r="H20">
        <v>3.9</v>
      </c>
      <c r="I20">
        <f>IF(MONTH(calls[[#This Row],[Date of Call]])&lt;=6, YEAR(calls[[#This Row],[Date of Call]]), YEAR(calls[[#This Row],[Date of Call]])+1)</f>
        <v>2025</v>
      </c>
      <c r="J20" t="str">
        <f>TEXT(calls[[#This Row],[Date of Call]],"DDDD")</f>
        <v>Sunday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45662</v>
      </c>
      <c r="G21">
        <v>28</v>
      </c>
      <c r="H21">
        <v>3.8</v>
      </c>
      <c r="I21">
        <f>IF(MONTH(calls[[#This Row],[Date of Call]])&lt;=6, YEAR(calls[[#This Row],[Date of Call]]), YEAR(calls[[#This Row],[Date of Call]])+1)</f>
        <v>2025</v>
      </c>
      <c r="J21" t="str">
        <f>TEXT(calls[[#This Row],[Date of Call]],"DDDD")</f>
        <v>Sunday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45662</v>
      </c>
      <c r="G22">
        <v>170</v>
      </c>
      <c r="H22">
        <v>4.3</v>
      </c>
      <c r="I22">
        <f>IF(MONTH(calls[[#This Row],[Date of Call]])&lt;=6, YEAR(calls[[#This Row],[Date of Call]]), YEAR(calls[[#This Row],[Date of Call]])+1)</f>
        <v>2025</v>
      </c>
      <c r="J22" t="str">
        <f>TEXT(calls[[#This Row],[Date of Call]],"DDDD")</f>
        <v>Sunday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45663</v>
      </c>
      <c r="G23">
        <v>30</v>
      </c>
      <c r="H23">
        <v>4.4000000000000004</v>
      </c>
      <c r="I23">
        <f>IF(MONTH(calls[[#This Row],[Date of Call]])&lt;=6, YEAR(calls[[#This Row],[Date of Call]]), YEAR(calls[[#This Row],[Date of Call]])+1)</f>
        <v>2025</v>
      </c>
      <c r="J23" t="str">
        <f>TEXT(calls[[#This Row],[Date of Call]],"DDDD")</f>
        <v>Monday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45663</v>
      </c>
      <c r="G24">
        <v>72</v>
      </c>
      <c r="H24">
        <v>5</v>
      </c>
      <c r="I24">
        <f>IF(MONTH(calls[[#This Row],[Date of Call]])&lt;=6, YEAR(calls[[#This Row],[Date of Call]]), YEAR(calls[[#This Row],[Date of Call]])+1)</f>
        <v>2025</v>
      </c>
      <c r="J24" t="str">
        <f>TEXT(calls[[#This Row],[Date of Call]],"DDDD")</f>
        <v>Monday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45664</v>
      </c>
      <c r="G25">
        <v>92</v>
      </c>
      <c r="H25">
        <v>4.9000000000000004</v>
      </c>
      <c r="I25">
        <f>IF(MONTH(calls[[#This Row],[Date of Call]])&lt;=6, YEAR(calls[[#This Row],[Date of Call]]), YEAR(calls[[#This Row],[Date of Call]])+1)</f>
        <v>2025</v>
      </c>
      <c r="J25" t="str">
        <f>TEXT(calls[[#This Row],[Date of Call]],"DDDD")</f>
        <v>Tuesday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45665</v>
      </c>
      <c r="G26">
        <v>165</v>
      </c>
      <c r="H26">
        <v>4.5</v>
      </c>
      <c r="I26">
        <f>IF(MONTH(calls[[#This Row],[Date of Call]])&lt;=6, YEAR(calls[[#This Row],[Date of Call]]), YEAR(calls[[#This Row],[Date of Call]])+1)</f>
        <v>2025</v>
      </c>
      <c r="J26" t="str">
        <f>TEXT(calls[[#This Row],[Date of Call]],"DDDD")</f>
        <v>Wednesday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45665</v>
      </c>
      <c r="G27">
        <v>140</v>
      </c>
      <c r="H27">
        <v>2.1</v>
      </c>
      <c r="I27">
        <f>IF(MONTH(calls[[#This Row],[Date of Call]])&lt;=6, YEAR(calls[[#This Row],[Date of Call]]), YEAR(calls[[#This Row],[Date of Call]])+1)</f>
        <v>2025</v>
      </c>
      <c r="J27" t="str">
        <f>TEXT(calls[[#This Row],[Date of Call]],"DDDD")</f>
        <v>Wednesday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45665</v>
      </c>
      <c r="G28">
        <v>111</v>
      </c>
      <c r="H28">
        <v>3.3</v>
      </c>
      <c r="I28">
        <f>IF(MONTH(calls[[#This Row],[Date of Call]])&lt;=6, YEAR(calls[[#This Row],[Date of Call]]), YEAR(calls[[#This Row],[Date of Call]])+1)</f>
        <v>2025</v>
      </c>
      <c r="J28" t="str">
        <f>TEXT(calls[[#This Row],[Date of Call]],"DDDD")</f>
        <v>Wednesday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45666</v>
      </c>
      <c r="G29">
        <v>63</v>
      </c>
      <c r="H29">
        <v>4.0999999999999996</v>
      </c>
      <c r="I29">
        <f>IF(MONTH(calls[[#This Row],[Date of Call]])&lt;=6, YEAR(calls[[#This Row],[Date of Call]]), YEAR(calls[[#This Row],[Date of Call]])+1)</f>
        <v>2025</v>
      </c>
      <c r="J29" t="str">
        <f>TEXT(calls[[#This Row],[Date of Call]],"DDDD")</f>
        <v>Thursday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45666</v>
      </c>
      <c r="G30">
        <v>80</v>
      </c>
      <c r="H30">
        <v>4.2</v>
      </c>
      <c r="I30">
        <f>IF(MONTH(calls[[#This Row],[Date of Call]])&lt;=6, YEAR(calls[[#This Row],[Date of Call]]), YEAR(calls[[#This Row],[Date of Call]])+1)</f>
        <v>2025</v>
      </c>
      <c r="J30" t="str">
        <f>TEXT(calls[[#This Row],[Date of Call]],"DDDD")</f>
        <v>Thursday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45667</v>
      </c>
      <c r="G31">
        <v>50</v>
      </c>
      <c r="H31">
        <v>4.5999999999999996</v>
      </c>
      <c r="I31">
        <f>IF(MONTH(calls[[#This Row],[Date of Call]])&lt;=6, YEAR(calls[[#This Row],[Date of Call]]), YEAR(calls[[#This Row],[Date of Call]])+1)</f>
        <v>2025</v>
      </c>
      <c r="J31" t="str">
        <f>TEXT(calls[[#This Row],[Date of Call]],"DDDD")</f>
        <v>Friday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45667</v>
      </c>
      <c r="G32">
        <v>123</v>
      </c>
      <c r="H32">
        <v>2.9</v>
      </c>
      <c r="I32">
        <f>IF(MONTH(calls[[#This Row],[Date of Call]])&lt;=6, YEAR(calls[[#This Row],[Date of Call]]), YEAR(calls[[#This Row],[Date of Call]])+1)</f>
        <v>2025</v>
      </c>
      <c r="J32" t="str">
        <f>TEXT(calls[[#This Row],[Date of Call]],"DDDD")</f>
        <v>Friday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45667</v>
      </c>
      <c r="G33">
        <v>110</v>
      </c>
      <c r="H33">
        <v>4.8</v>
      </c>
      <c r="I33">
        <f>IF(MONTH(calls[[#This Row],[Date of Call]])&lt;=6, YEAR(calls[[#This Row],[Date of Call]]), YEAR(calls[[#This Row],[Date of Call]])+1)</f>
        <v>2025</v>
      </c>
      <c r="J33" t="str">
        <f>TEXT(calls[[#This Row],[Date of Call]],"DDDD")</f>
        <v>Friday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45667</v>
      </c>
      <c r="G34">
        <v>140</v>
      </c>
      <c r="H34">
        <v>4.2</v>
      </c>
      <c r="I34">
        <f>IF(MONTH(calls[[#This Row],[Date of Call]])&lt;=6, YEAR(calls[[#This Row],[Date of Call]]), YEAR(calls[[#This Row],[Date of Call]])+1)</f>
        <v>2025</v>
      </c>
      <c r="J34" t="str">
        <f>TEXT(calls[[#This Row],[Date of Call]],"DDDD")</f>
        <v>Friday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45669</v>
      </c>
      <c r="G35">
        <v>42</v>
      </c>
      <c r="H35">
        <v>3.7</v>
      </c>
      <c r="I35">
        <f>IF(MONTH(calls[[#This Row],[Date of Call]])&lt;=6, YEAR(calls[[#This Row],[Date of Call]]), YEAR(calls[[#This Row],[Date of Call]])+1)</f>
        <v>2025</v>
      </c>
      <c r="J35" t="str">
        <f>TEXT(calls[[#This Row],[Date of Call]],"DDDD")</f>
        <v>Sunday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45669</v>
      </c>
      <c r="G36">
        <v>170</v>
      </c>
      <c r="H36">
        <v>5</v>
      </c>
      <c r="I36">
        <f>IF(MONTH(calls[[#This Row],[Date of Call]])&lt;=6, YEAR(calls[[#This Row],[Date of Call]]), YEAR(calls[[#This Row],[Date of Call]])+1)</f>
        <v>2025</v>
      </c>
      <c r="J36" t="str">
        <f>TEXT(calls[[#This Row],[Date of Call]],"DDDD")</f>
        <v>Sunday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45671</v>
      </c>
      <c r="G37">
        <v>105</v>
      </c>
      <c r="H37">
        <v>5</v>
      </c>
      <c r="I37">
        <f>IF(MONTH(calls[[#This Row],[Date of Call]])&lt;=6, YEAR(calls[[#This Row],[Date of Call]]), YEAR(calls[[#This Row],[Date of Call]])+1)</f>
        <v>2025</v>
      </c>
      <c r="J37" t="str">
        <f>TEXT(calls[[#This Row],[Date of Call]],"DDDD")</f>
        <v>Tuesday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45672</v>
      </c>
      <c r="G38">
        <v>125</v>
      </c>
      <c r="H38">
        <v>4.8</v>
      </c>
      <c r="I38">
        <f>IF(MONTH(calls[[#This Row],[Date of Call]])&lt;=6, YEAR(calls[[#This Row],[Date of Call]]), YEAR(calls[[#This Row],[Date of Call]])+1)</f>
        <v>2025</v>
      </c>
      <c r="J38" t="str">
        <f>TEXT(calls[[#This Row],[Date of Call]],"DDDD")</f>
        <v>Wednesday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45672</v>
      </c>
      <c r="G39">
        <v>26</v>
      </c>
      <c r="H39">
        <v>2.4</v>
      </c>
      <c r="I39">
        <f>IF(MONTH(calls[[#This Row],[Date of Call]])&lt;=6, YEAR(calls[[#This Row],[Date of Call]]), YEAR(calls[[#This Row],[Date of Call]])+1)</f>
        <v>2025</v>
      </c>
      <c r="J39" t="str">
        <f>TEXT(calls[[#This Row],[Date of Call]],"DDDD")</f>
        <v>Wednesday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45673</v>
      </c>
      <c r="G40">
        <v>120</v>
      </c>
      <c r="H40">
        <v>3.1</v>
      </c>
      <c r="I40">
        <f>IF(MONTH(calls[[#This Row],[Date of Call]])&lt;=6, YEAR(calls[[#This Row],[Date of Call]]), YEAR(calls[[#This Row],[Date of Call]])+1)</f>
        <v>2025</v>
      </c>
      <c r="J40" t="str">
        <f>TEXT(calls[[#This Row],[Date of Call]],"DDDD")</f>
        <v>Thursday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45673</v>
      </c>
      <c r="G41">
        <v>132</v>
      </c>
      <c r="H41">
        <v>3.2</v>
      </c>
      <c r="I41">
        <f>IF(MONTH(calls[[#This Row],[Date of Call]])&lt;=6, YEAR(calls[[#This Row],[Date of Call]]), YEAR(calls[[#This Row],[Date of Call]])+1)</f>
        <v>2025</v>
      </c>
      <c r="J41" t="str">
        <f>TEXT(calls[[#This Row],[Date of Call]],"DDDD")</f>
        <v>Thursday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45674</v>
      </c>
      <c r="G42">
        <v>86</v>
      </c>
      <c r="H42">
        <v>2.4</v>
      </c>
      <c r="I42">
        <f>IF(MONTH(calls[[#This Row],[Date of Call]])&lt;=6, YEAR(calls[[#This Row],[Date of Call]]), YEAR(calls[[#This Row],[Date of Call]])+1)</f>
        <v>2025</v>
      </c>
      <c r="J42" t="str">
        <f>TEXT(calls[[#This Row],[Date of Call]],"DDDD")</f>
        <v>Friday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45674</v>
      </c>
      <c r="G43">
        <v>108</v>
      </c>
      <c r="H43">
        <v>5</v>
      </c>
      <c r="I43">
        <f>IF(MONTH(calls[[#This Row],[Date of Call]])&lt;=6, YEAR(calls[[#This Row],[Date of Call]]), YEAR(calls[[#This Row],[Date of Call]])+1)</f>
        <v>2025</v>
      </c>
      <c r="J43" t="str">
        <f>TEXT(calls[[#This Row],[Date of Call]],"DDDD")</f>
        <v>Friday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45674</v>
      </c>
      <c r="G44">
        <v>96</v>
      </c>
      <c r="H44">
        <v>4.7</v>
      </c>
      <c r="I44">
        <f>IF(MONTH(calls[[#This Row],[Date of Call]])&lt;=6, YEAR(calls[[#This Row],[Date of Call]]), YEAR(calls[[#This Row],[Date of Call]])+1)</f>
        <v>2025</v>
      </c>
      <c r="J44" t="str">
        <f>TEXT(calls[[#This Row],[Date of Call]],"DDDD")</f>
        <v>Friday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45675</v>
      </c>
      <c r="G45">
        <v>80</v>
      </c>
      <c r="H45">
        <v>4.7</v>
      </c>
      <c r="I45">
        <f>IF(MONTH(calls[[#This Row],[Date of Call]])&lt;=6, YEAR(calls[[#This Row],[Date of Call]]), YEAR(calls[[#This Row],[Date of Call]])+1)</f>
        <v>2025</v>
      </c>
      <c r="J45" t="str">
        <f>TEXT(calls[[#This Row],[Date of Call]],"DDDD")</f>
        <v>Saturday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45675</v>
      </c>
      <c r="G46">
        <v>155</v>
      </c>
      <c r="H46">
        <v>4.0999999999999996</v>
      </c>
      <c r="I46">
        <f>IF(MONTH(calls[[#This Row],[Date of Call]])&lt;=6, YEAR(calls[[#This Row],[Date of Call]]), YEAR(calls[[#This Row],[Date of Call]])+1)</f>
        <v>2025</v>
      </c>
      <c r="J46" t="str">
        <f>TEXT(calls[[#This Row],[Date of Call]],"DDDD")</f>
        <v>Saturday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45675</v>
      </c>
      <c r="G47">
        <v>168</v>
      </c>
      <c r="H47">
        <v>4.0999999999999996</v>
      </c>
      <c r="I47">
        <f>IF(MONTH(calls[[#This Row],[Date of Call]])&lt;=6, YEAR(calls[[#This Row],[Date of Call]]), YEAR(calls[[#This Row],[Date of Call]])+1)</f>
        <v>2025</v>
      </c>
      <c r="J47" t="str">
        <f>TEXT(calls[[#This Row],[Date of Call]],"DDDD")</f>
        <v>Saturday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45675</v>
      </c>
      <c r="G48">
        <v>56</v>
      </c>
      <c r="H48">
        <v>3.6</v>
      </c>
      <c r="I48">
        <f>IF(MONTH(calls[[#This Row],[Date of Call]])&lt;=6, YEAR(calls[[#This Row],[Date of Call]]), YEAR(calls[[#This Row],[Date of Call]])+1)</f>
        <v>2025</v>
      </c>
      <c r="J48" t="str">
        <f>TEXT(calls[[#This Row],[Date of Call]],"DDDD")</f>
        <v>Saturday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45676</v>
      </c>
      <c r="G49">
        <v>32</v>
      </c>
      <c r="H49">
        <v>4.4000000000000004</v>
      </c>
      <c r="I49">
        <f>IF(MONTH(calls[[#This Row],[Date of Call]])&lt;=6, YEAR(calls[[#This Row],[Date of Call]]), YEAR(calls[[#This Row],[Date of Call]])+1)</f>
        <v>2025</v>
      </c>
      <c r="J49" t="str">
        <f>TEXT(calls[[#This Row],[Date of Call]],"DDDD")</f>
        <v>Sunday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45676</v>
      </c>
      <c r="G50">
        <v>78</v>
      </c>
      <c r="H50">
        <v>4.4000000000000004</v>
      </c>
      <c r="I50">
        <f>IF(MONTH(calls[[#This Row],[Date of Call]])&lt;=6, YEAR(calls[[#This Row],[Date of Call]]), YEAR(calls[[#This Row],[Date of Call]])+1)</f>
        <v>2025</v>
      </c>
      <c r="J50" t="str">
        <f>TEXT(calls[[#This Row],[Date of Call]],"DDDD")</f>
        <v>Sunday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45676</v>
      </c>
      <c r="G51">
        <v>86</v>
      </c>
      <c r="H51">
        <v>4</v>
      </c>
      <c r="I51">
        <f>IF(MONTH(calls[[#This Row],[Date of Call]])&lt;=6, YEAR(calls[[#This Row],[Date of Call]]), YEAR(calls[[#This Row],[Date of Call]])+1)</f>
        <v>2025</v>
      </c>
      <c r="J51" t="str">
        <f>TEXT(calls[[#This Row],[Date of Call]],"DDDD")</f>
        <v>Sunday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45677</v>
      </c>
      <c r="G52">
        <v>64</v>
      </c>
      <c r="H52">
        <v>3.8</v>
      </c>
      <c r="I52">
        <f>IF(MONTH(calls[[#This Row],[Date of Call]])&lt;=6, YEAR(calls[[#This Row],[Date of Call]]), YEAR(calls[[#This Row],[Date of Call]])+1)</f>
        <v>2025</v>
      </c>
      <c r="J52" t="str">
        <f>TEXT(calls[[#This Row],[Date of Call]],"DDDD")</f>
        <v>Monday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45677</v>
      </c>
      <c r="G53">
        <v>96</v>
      </c>
      <c r="H53">
        <v>3.6</v>
      </c>
      <c r="I53">
        <f>IF(MONTH(calls[[#This Row],[Date of Call]])&lt;=6, YEAR(calls[[#This Row],[Date of Call]]), YEAR(calls[[#This Row],[Date of Call]])+1)</f>
        <v>2025</v>
      </c>
      <c r="J53" t="str">
        <f>TEXT(calls[[#This Row],[Date of Call]],"DDDD")</f>
        <v>Monday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45677</v>
      </c>
      <c r="G54">
        <v>72</v>
      </c>
      <c r="H54">
        <v>4.3</v>
      </c>
      <c r="I54">
        <f>IF(MONTH(calls[[#This Row],[Date of Call]])&lt;=6, YEAR(calls[[#This Row],[Date of Call]]), YEAR(calls[[#This Row],[Date of Call]])+1)</f>
        <v>2025</v>
      </c>
      <c r="J54" t="str">
        <f>TEXT(calls[[#This Row],[Date of Call]],"DDDD")</f>
        <v>Monday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45678</v>
      </c>
      <c r="G55">
        <v>135</v>
      </c>
      <c r="H55">
        <v>3.8</v>
      </c>
      <c r="I55">
        <f>IF(MONTH(calls[[#This Row],[Date of Call]])&lt;=6, YEAR(calls[[#This Row],[Date of Call]]), YEAR(calls[[#This Row],[Date of Call]])+1)</f>
        <v>2025</v>
      </c>
      <c r="J55" t="str">
        <f>TEXT(calls[[#This Row],[Date of Call]],"DDDD")</f>
        <v>Tuesday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45678</v>
      </c>
      <c r="G56">
        <v>140</v>
      </c>
      <c r="H56">
        <v>4.5</v>
      </c>
      <c r="I56">
        <f>IF(MONTH(calls[[#This Row],[Date of Call]])&lt;=6, YEAR(calls[[#This Row],[Date of Call]]), YEAR(calls[[#This Row],[Date of Call]])+1)</f>
        <v>2025</v>
      </c>
      <c r="J56" t="str">
        <f>TEXT(calls[[#This Row],[Date of Call]],"DDDD")</f>
        <v>Tuesday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45678</v>
      </c>
      <c r="G57">
        <v>69</v>
      </c>
      <c r="H57">
        <v>4.5</v>
      </c>
      <c r="I57">
        <f>IF(MONTH(calls[[#This Row],[Date of Call]])&lt;=6, YEAR(calls[[#This Row],[Date of Call]]), YEAR(calls[[#This Row],[Date of Call]])+1)</f>
        <v>2025</v>
      </c>
      <c r="J57" t="str">
        <f>TEXT(calls[[#This Row],[Date of Call]],"DDDD")</f>
        <v>Tuesday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45679</v>
      </c>
      <c r="G58">
        <v>136</v>
      </c>
      <c r="H58">
        <v>4.5999999999999996</v>
      </c>
      <c r="I58">
        <f>IF(MONTH(calls[[#This Row],[Date of Call]])&lt;=6, YEAR(calls[[#This Row],[Date of Call]]), YEAR(calls[[#This Row],[Date of Call]])+1)</f>
        <v>2025</v>
      </c>
      <c r="J58" t="str">
        <f>TEXT(calls[[#This Row],[Date of Call]],"DDDD")</f>
        <v>Wednesday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45679</v>
      </c>
      <c r="G59">
        <v>28</v>
      </c>
      <c r="H59">
        <v>4.5</v>
      </c>
      <c r="I59">
        <f>IF(MONTH(calls[[#This Row],[Date of Call]])&lt;=6, YEAR(calls[[#This Row],[Date of Call]]), YEAR(calls[[#This Row],[Date of Call]])+1)</f>
        <v>2025</v>
      </c>
      <c r="J59" t="str">
        <f>TEXT(calls[[#This Row],[Date of Call]],"DDDD")</f>
        <v>Wednesday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45682</v>
      </c>
      <c r="G60">
        <v>135</v>
      </c>
      <c r="H60">
        <v>3.3</v>
      </c>
      <c r="I60">
        <f>IF(MONTH(calls[[#This Row],[Date of Call]])&lt;=6, YEAR(calls[[#This Row],[Date of Call]]), YEAR(calls[[#This Row],[Date of Call]])+1)</f>
        <v>2025</v>
      </c>
      <c r="J60" t="str">
        <f>TEXT(calls[[#This Row],[Date of Call]],"DDDD")</f>
        <v>Saturday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45682</v>
      </c>
      <c r="G61">
        <v>126</v>
      </c>
      <c r="H61">
        <v>2.2999999999999998</v>
      </c>
      <c r="I61">
        <f>IF(MONTH(calls[[#This Row],[Date of Call]])&lt;=6, YEAR(calls[[#This Row],[Date of Call]]), YEAR(calls[[#This Row],[Date of Call]])+1)</f>
        <v>2025</v>
      </c>
      <c r="J61" t="str">
        <f>TEXT(calls[[#This Row],[Date of Call]],"DDDD")</f>
        <v>Saturday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45682</v>
      </c>
      <c r="G62">
        <v>160</v>
      </c>
      <c r="H62">
        <v>4.3</v>
      </c>
      <c r="I62">
        <f>IF(MONTH(calls[[#This Row],[Date of Call]])&lt;=6, YEAR(calls[[#This Row],[Date of Call]]), YEAR(calls[[#This Row],[Date of Call]])+1)</f>
        <v>2025</v>
      </c>
      <c r="J62" t="str">
        <f>TEXT(calls[[#This Row],[Date of Call]],"DDDD")</f>
        <v>Saturday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45681</v>
      </c>
      <c r="G63">
        <v>48</v>
      </c>
      <c r="H63">
        <v>4.5999999999999996</v>
      </c>
      <c r="I63">
        <f>IF(MONTH(calls[[#This Row],[Date of Call]])&lt;=6, YEAR(calls[[#This Row],[Date of Call]]), YEAR(calls[[#This Row],[Date of Call]])+1)</f>
        <v>2025</v>
      </c>
      <c r="J63" t="str">
        <f>TEXT(calls[[#This Row],[Date of Call]],"DDDD")</f>
        <v>Friday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45681</v>
      </c>
      <c r="G64">
        <v>66</v>
      </c>
      <c r="H64">
        <v>4</v>
      </c>
      <c r="I64">
        <f>IF(MONTH(calls[[#This Row],[Date of Call]])&lt;=6, YEAR(calls[[#This Row],[Date of Call]]), YEAR(calls[[#This Row],[Date of Call]])+1)</f>
        <v>2025</v>
      </c>
      <c r="J64" t="str">
        <f>TEXT(calls[[#This Row],[Date of Call]],"DDDD")</f>
        <v>Friday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45681</v>
      </c>
      <c r="G65">
        <v>126</v>
      </c>
      <c r="H65">
        <v>2.5</v>
      </c>
      <c r="I65">
        <f>IF(MONTH(calls[[#This Row],[Date of Call]])&lt;=6, YEAR(calls[[#This Row],[Date of Call]]), YEAR(calls[[#This Row],[Date of Call]])+1)</f>
        <v>2025</v>
      </c>
      <c r="J65" t="str">
        <f>TEXT(calls[[#This Row],[Date of Call]],"DDDD")</f>
        <v>Friday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45681</v>
      </c>
      <c r="G66">
        <v>96</v>
      </c>
      <c r="H66">
        <v>5</v>
      </c>
      <c r="I66">
        <f>IF(MONTH(calls[[#This Row],[Date of Call]])&lt;=6, YEAR(calls[[#This Row],[Date of Call]]), YEAR(calls[[#This Row],[Date of Call]])+1)</f>
        <v>2025</v>
      </c>
      <c r="J66" t="str">
        <f>TEXT(calls[[#This Row],[Date of Call]],"DDDD")</f>
        <v>Friday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45682</v>
      </c>
      <c r="G67">
        <v>90</v>
      </c>
      <c r="H67">
        <v>3.8</v>
      </c>
      <c r="I67">
        <f>IF(MONTH(calls[[#This Row],[Date of Call]])&lt;=6, YEAR(calls[[#This Row],[Date of Call]]), YEAR(calls[[#This Row],[Date of Call]])+1)</f>
        <v>2025</v>
      </c>
      <c r="J67" t="str">
        <f>TEXT(calls[[#This Row],[Date of Call]],"DDDD")</f>
        <v>Saturday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45682</v>
      </c>
      <c r="G68">
        <v>105</v>
      </c>
      <c r="H68">
        <v>4.4000000000000004</v>
      </c>
      <c r="I68">
        <f>IF(MONTH(calls[[#This Row],[Date of Call]])&lt;=6, YEAR(calls[[#This Row],[Date of Call]]), YEAR(calls[[#This Row],[Date of Call]])+1)</f>
        <v>2025</v>
      </c>
      <c r="J68" t="str">
        <f>TEXT(calls[[#This Row],[Date of Call]],"DDDD")</f>
        <v>Saturday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45683</v>
      </c>
      <c r="G69">
        <v>40</v>
      </c>
      <c r="H69">
        <v>3.8</v>
      </c>
      <c r="I69">
        <f>IF(MONTH(calls[[#This Row],[Date of Call]])&lt;=6, YEAR(calls[[#This Row],[Date of Call]]), YEAR(calls[[#This Row],[Date of Call]])+1)</f>
        <v>2025</v>
      </c>
      <c r="J69" t="str">
        <f>TEXT(calls[[#This Row],[Date of Call]],"DDDD")</f>
        <v>Sunday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45683</v>
      </c>
      <c r="G70">
        <v>60</v>
      </c>
      <c r="H70">
        <v>2</v>
      </c>
      <c r="I70">
        <f>IF(MONTH(calls[[#This Row],[Date of Call]])&lt;=6, YEAR(calls[[#This Row],[Date of Call]]), YEAR(calls[[#This Row],[Date of Call]])+1)</f>
        <v>2025</v>
      </c>
      <c r="J70" t="str">
        <f>TEXT(calls[[#This Row],[Date of Call]],"DDDD")</f>
        <v>Sunday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45684</v>
      </c>
      <c r="G71">
        <v>215</v>
      </c>
      <c r="H71">
        <v>4.0999999999999996</v>
      </c>
      <c r="I71">
        <f>IF(MONTH(calls[[#This Row],[Date of Call]])&lt;=6, YEAR(calls[[#This Row],[Date of Call]]), YEAR(calls[[#This Row],[Date of Call]])+1)</f>
        <v>2025</v>
      </c>
      <c r="J71" t="str">
        <f>TEXT(calls[[#This Row],[Date of Call]],"DDDD")</f>
        <v>Monday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45684</v>
      </c>
      <c r="G72">
        <v>156</v>
      </c>
      <c r="H72">
        <v>2.6</v>
      </c>
      <c r="I72">
        <f>IF(MONTH(calls[[#This Row],[Date of Call]])&lt;=6, YEAR(calls[[#This Row],[Date of Call]]), YEAR(calls[[#This Row],[Date of Call]])+1)</f>
        <v>2025</v>
      </c>
      <c r="J72" t="str">
        <f>TEXT(calls[[#This Row],[Date of Call]],"DDDD")</f>
        <v>Monday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45684</v>
      </c>
      <c r="G73">
        <v>54</v>
      </c>
      <c r="H73">
        <v>0</v>
      </c>
      <c r="I73">
        <f>IF(MONTH(calls[[#This Row],[Date of Call]])&lt;=6, YEAR(calls[[#This Row],[Date of Call]]), YEAR(calls[[#This Row],[Date of Call]])+1)</f>
        <v>2025</v>
      </c>
      <c r="J73" t="str">
        <f>TEXT(calls[[#This Row],[Date of Call]],"DDDD")</f>
        <v>Monday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45685</v>
      </c>
      <c r="G74">
        <v>160</v>
      </c>
      <c r="H74">
        <v>3.9</v>
      </c>
      <c r="I74">
        <f>IF(MONTH(calls[[#This Row],[Date of Call]])&lt;=6, YEAR(calls[[#This Row],[Date of Call]]), YEAR(calls[[#This Row],[Date of Call]])+1)</f>
        <v>2025</v>
      </c>
      <c r="J74" t="str">
        <f>TEXT(calls[[#This Row],[Date of Call]],"DDDD")</f>
        <v>Tuesday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45685</v>
      </c>
      <c r="G75">
        <v>80</v>
      </c>
      <c r="H75">
        <v>4.8</v>
      </c>
      <c r="I75">
        <f>IF(MONTH(calls[[#This Row],[Date of Call]])&lt;=6, YEAR(calls[[#This Row],[Date of Call]]), YEAR(calls[[#This Row],[Date of Call]])+1)</f>
        <v>2025</v>
      </c>
      <c r="J75" t="str">
        <f>TEXT(calls[[#This Row],[Date of Call]],"DDDD")</f>
        <v>Tuesday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45685</v>
      </c>
      <c r="G76">
        <v>168</v>
      </c>
      <c r="H76">
        <v>2.6</v>
      </c>
      <c r="I76">
        <f>IF(MONTH(calls[[#This Row],[Date of Call]])&lt;=6, YEAR(calls[[#This Row],[Date of Call]]), YEAR(calls[[#This Row],[Date of Call]])+1)</f>
        <v>2025</v>
      </c>
      <c r="J76" t="str">
        <f>TEXT(calls[[#This Row],[Date of Call]],"DDDD")</f>
        <v>Tuesday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45687</v>
      </c>
      <c r="G77">
        <v>42</v>
      </c>
      <c r="H77">
        <v>2.6</v>
      </c>
      <c r="I77">
        <f>IF(MONTH(calls[[#This Row],[Date of Call]])&lt;=6, YEAR(calls[[#This Row],[Date of Call]]), YEAR(calls[[#This Row],[Date of Call]])+1)</f>
        <v>2025</v>
      </c>
      <c r="J77" t="str">
        <f>TEXT(calls[[#This Row],[Date of Call]],"DDDD")</f>
        <v>Thursday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45687</v>
      </c>
      <c r="G78">
        <v>205</v>
      </c>
      <c r="H78">
        <v>3.6</v>
      </c>
      <c r="I78">
        <f>IF(MONTH(calls[[#This Row],[Date of Call]])&lt;=6, YEAR(calls[[#This Row],[Date of Call]]), YEAR(calls[[#This Row],[Date of Call]])+1)</f>
        <v>2025</v>
      </c>
      <c r="J78" t="str">
        <f>TEXT(calls[[#This Row],[Date of Call]],"DDDD")</f>
        <v>Thursday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45687</v>
      </c>
      <c r="G79">
        <v>108</v>
      </c>
      <c r="H79">
        <v>3.3</v>
      </c>
      <c r="I79">
        <f>IF(MONTH(calls[[#This Row],[Date of Call]])&lt;=6, YEAR(calls[[#This Row],[Date of Call]]), YEAR(calls[[#This Row],[Date of Call]])+1)</f>
        <v>2025</v>
      </c>
      <c r="J79" t="str">
        <f>TEXT(calls[[#This Row],[Date of Call]],"DDDD")</f>
        <v>Thursday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45687</v>
      </c>
      <c r="G80">
        <v>78</v>
      </c>
      <c r="H80">
        <v>1.9</v>
      </c>
      <c r="I80">
        <f>IF(MONTH(calls[[#This Row],[Date of Call]])&lt;=6, YEAR(calls[[#This Row],[Date of Call]]), YEAR(calls[[#This Row],[Date of Call]])+1)</f>
        <v>2025</v>
      </c>
      <c r="J80" t="str">
        <f>TEXT(calls[[#This Row],[Date of Call]],"DDDD")</f>
        <v>Thursday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45687</v>
      </c>
      <c r="G81">
        <v>23</v>
      </c>
      <c r="H81">
        <v>4.9000000000000004</v>
      </c>
      <c r="I81">
        <f>IF(MONTH(calls[[#This Row],[Date of Call]])&lt;=6, YEAR(calls[[#This Row],[Date of Call]]), YEAR(calls[[#This Row],[Date of Call]])+1)</f>
        <v>2025</v>
      </c>
      <c r="J81" t="str">
        <f>TEXT(calls[[#This Row],[Date of Call]],"DDDD")</f>
        <v>Thursday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45688</v>
      </c>
      <c r="G82">
        <v>99</v>
      </c>
      <c r="H82">
        <v>3.6</v>
      </c>
      <c r="I82">
        <f>IF(MONTH(calls[[#This Row],[Date of Call]])&lt;=6, YEAR(calls[[#This Row],[Date of Call]]), YEAR(calls[[#This Row],[Date of Call]])+1)</f>
        <v>2025</v>
      </c>
      <c r="J82" t="str">
        <f>TEXT(calls[[#This Row],[Date of Call]],"DDDD")</f>
        <v>Friday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45689</v>
      </c>
      <c r="G83">
        <v>148</v>
      </c>
      <c r="H83">
        <v>4.5</v>
      </c>
      <c r="I83">
        <f>IF(MONTH(calls[[#This Row],[Date of Call]])&lt;=6, YEAR(calls[[#This Row],[Date of Call]]), YEAR(calls[[#This Row],[Date of Call]])+1)</f>
        <v>2025</v>
      </c>
      <c r="J83" t="str">
        <f>TEXT(calls[[#This Row],[Date of Call]],"DDDD")</f>
        <v>Saturday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45689</v>
      </c>
      <c r="G84">
        <v>34</v>
      </c>
      <c r="H84">
        <v>3.7</v>
      </c>
      <c r="I84">
        <f>IF(MONTH(calls[[#This Row],[Date of Call]])&lt;=6, YEAR(calls[[#This Row],[Date of Call]]), YEAR(calls[[#This Row],[Date of Call]])+1)</f>
        <v>2025</v>
      </c>
      <c r="J84" t="str">
        <f>TEXT(calls[[#This Row],[Date of Call]],"DDDD")</f>
        <v>Saturday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45689</v>
      </c>
      <c r="G85">
        <v>86</v>
      </c>
      <c r="H85">
        <v>4.8</v>
      </c>
      <c r="I85">
        <f>IF(MONTH(calls[[#This Row],[Date of Call]])&lt;=6, YEAR(calls[[#This Row],[Date of Call]]), YEAR(calls[[#This Row],[Date of Call]])+1)</f>
        <v>2025</v>
      </c>
      <c r="J85" t="str">
        <f>TEXT(calls[[#This Row],[Date of Call]],"DDDD")</f>
        <v>Saturday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45689</v>
      </c>
      <c r="G86">
        <v>105</v>
      </c>
      <c r="H86">
        <v>3.3</v>
      </c>
      <c r="I86">
        <f>IF(MONTH(calls[[#This Row],[Date of Call]])&lt;=6, YEAR(calls[[#This Row],[Date of Call]]), YEAR(calls[[#This Row],[Date of Call]])+1)</f>
        <v>2025</v>
      </c>
      <c r="J86" t="str">
        <f>TEXT(calls[[#This Row],[Date of Call]],"DDDD")</f>
        <v>Saturday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45689</v>
      </c>
      <c r="G87">
        <v>62</v>
      </c>
      <c r="H87">
        <v>3.1</v>
      </c>
      <c r="I87">
        <f>IF(MONTH(calls[[#This Row],[Date of Call]])&lt;=6, YEAR(calls[[#This Row],[Date of Call]]), YEAR(calls[[#This Row],[Date of Call]])+1)</f>
        <v>2025</v>
      </c>
      <c r="J87" t="str">
        <f>TEXT(calls[[#This Row],[Date of Call]],"DDDD")</f>
        <v>Saturday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45689</v>
      </c>
      <c r="G88">
        <v>90</v>
      </c>
      <c r="H88">
        <v>4.0999999999999996</v>
      </c>
      <c r="I88">
        <f>IF(MONTH(calls[[#This Row],[Date of Call]])&lt;=6, YEAR(calls[[#This Row],[Date of Call]]), YEAR(calls[[#This Row],[Date of Call]])+1)</f>
        <v>2025</v>
      </c>
      <c r="J88" t="str">
        <f>TEXT(calls[[#This Row],[Date of Call]],"DDDD")</f>
        <v>Saturday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45690</v>
      </c>
      <c r="G89">
        <v>112</v>
      </c>
      <c r="H89">
        <v>4.9000000000000004</v>
      </c>
      <c r="I89">
        <f>IF(MONTH(calls[[#This Row],[Date of Call]])&lt;=6, YEAR(calls[[#This Row],[Date of Call]]), YEAR(calls[[#This Row],[Date of Call]])+1)</f>
        <v>2025</v>
      </c>
      <c r="J89" t="str">
        <f>TEXT(calls[[#This Row],[Date of Call]],"DDDD")</f>
        <v>Sunday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45690</v>
      </c>
      <c r="G90">
        <v>135</v>
      </c>
      <c r="H90">
        <v>4</v>
      </c>
      <c r="I90">
        <f>IF(MONTH(calls[[#This Row],[Date of Call]])&lt;=6, YEAR(calls[[#This Row],[Date of Call]]), YEAR(calls[[#This Row],[Date of Call]])+1)</f>
        <v>2025</v>
      </c>
      <c r="J90" t="str">
        <f>TEXT(calls[[#This Row],[Date of Call]],"DDDD")</f>
        <v>Sunday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45690</v>
      </c>
      <c r="G91">
        <v>34</v>
      </c>
      <c r="H91">
        <v>2.1</v>
      </c>
      <c r="I91">
        <f>IF(MONTH(calls[[#This Row],[Date of Call]])&lt;=6, YEAR(calls[[#This Row],[Date of Call]]), YEAR(calls[[#This Row],[Date of Call]])+1)</f>
        <v>2025</v>
      </c>
      <c r="J91" t="str">
        <f>TEXT(calls[[#This Row],[Date of Call]],"DDDD")</f>
        <v>Sunday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45690</v>
      </c>
      <c r="G92">
        <v>155</v>
      </c>
      <c r="H92">
        <v>4.5</v>
      </c>
      <c r="I92">
        <f>IF(MONTH(calls[[#This Row],[Date of Call]])&lt;=6, YEAR(calls[[#This Row],[Date of Call]]), YEAR(calls[[#This Row],[Date of Call]])+1)</f>
        <v>2025</v>
      </c>
      <c r="J92" t="str">
        <f>TEXT(calls[[#This Row],[Date of Call]],"DDDD")</f>
        <v>Sunday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45692</v>
      </c>
      <c r="G93">
        <v>124</v>
      </c>
      <c r="H93">
        <v>4.9000000000000004</v>
      </c>
      <c r="I93">
        <f>IF(MONTH(calls[[#This Row],[Date of Call]])&lt;=6, YEAR(calls[[#This Row],[Date of Call]]), YEAR(calls[[#This Row],[Date of Call]])+1)</f>
        <v>2025</v>
      </c>
      <c r="J93" t="str">
        <f>TEXT(calls[[#This Row],[Date of Call]],"DDDD")</f>
        <v>Tuesday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45692</v>
      </c>
      <c r="G94">
        <v>195</v>
      </c>
      <c r="H94">
        <v>4.0999999999999996</v>
      </c>
      <c r="I94">
        <f>IF(MONTH(calls[[#This Row],[Date of Call]])&lt;=6, YEAR(calls[[#This Row],[Date of Call]]), YEAR(calls[[#This Row],[Date of Call]])+1)</f>
        <v>2025</v>
      </c>
      <c r="J94" t="str">
        <f>TEXT(calls[[#This Row],[Date of Call]],"DDDD")</f>
        <v>Tuesday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45693</v>
      </c>
      <c r="G95">
        <v>78</v>
      </c>
      <c r="H95">
        <v>4.5</v>
      </c>
      <c r="I95">
        <f>IF(MONTH(calls[[#This Row],[Date of Call]])&lt;=6, YEAR(calls[[#This Row],[Date of Call]]), YEAR(calls[[#This Row],[Date of Call]])+1)</f>
        <v>2025</v>
      </c>
      <c r="J95" t="str">
        <f>TEXT(calls[[#This Row],[Date of Call]],"DDDD")</f>
        <v>Wednesday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45695</v>
      </c>
      <c r="G96">
        <v>35</v>
      </c>
      <c r="H96">
        <v>4.8</v>
      </c>
      <c r="I96">
        <f>IF(MONTH(calls[[#This Row],[Date of Call]])&lt;=6, YEAR(calls[[#This Row],[Date of Call]]), YEAR(calls[[#This Row],[Date of Call]])+1)</f>
        <v>2025</v>
      </c>
      <c r="J96" t="str">
        <f>TEXT(calls[[#This Row],[Date of Call]],"DDDD")</f>
        <v>Friday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45695</v>
      </c>
      <c r="G97">
        <v>123</v>
      </c>
      <c r="H97">
        <v>4.5999999999999996</v>
      </c>
      <c r="I97">
        <f>IF(MONTH(calls[[#This Row],[Date of Call]])&lt;=6, YEAR(calls[[#This Row],[Date of Call]]), YEAR(calls[[#This Row],[Date of Call]])+1)</f>
        <v>2025</v>
      </c>
      <c r="J97" t="str">
        <f>TEXT(calls[[#This Row],[Date of Call]],"DDDD")</f>
        <v>Friday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45695</v>
      </c>
      <c r="G98">
        <v>43</v>
      </c>
      <c r="H98">
        <v>4.5999999999999996</v>
      </c>
      <c r="I98">
        <f>IF(MONTH(calls[[#This Row],[Date of Call]])&lt;=6, YEAR(calls[[#This Row],[Date of Call]]), YEAR(calls[[#This Row],[Date of Call]])+1)</f>
        <v>2025</v>
      </c>
      <c r="J98" t="str">
        <f>TEXT(calls[[#This Row],[Date of Call]],"DDDD")</f>
        <v>Friday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45696</v>
      </c>
      <c r="G99">
        <v>69</v>
      </c>
      <c r="H99">
        <v>4.3</v>
      </c>
      <c r="I99">
        <f>IF(MONTH(calls[[#This Row],[Date of Call]])&lt;=6, YEAR(calls[[#This Row],[Date of Call]]), YEAR(calls[[#This Row],[Date of Call]])+1)</f>
        <v>2025</v>
      </c>
      <c r="J99" t="str">
        <f>TEXT(calls[[#This Row],[Date of Call]],"DDDD")</f>
        <v>Saturday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45696</v>
      </c>
      <c r="G100">
        <v>130</v>
      </c>
      <c r="H100">
        <v>5</v>
      </c>
      <c r="I100">
        <f>IF(MONTH(calls[[#This Row],[Date of Call]])&lt;=6, YEAR(calls[[#This Row],[Date of Call]]), YEAR(calls[[#This Row],[Date of Call]])+1)</f>
        <v>2025</v>
      </c>
      <c r="J100" t="str">
        <f>TEXT(calls[[#This Row],[Date of Call]],"DDDD")</f>
        <v>Saturday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45696</v>
      </c>
      <c r="G101">
        <v>120</v>
      </c>
      <c r="H101">
        <v>4</v>
      </c>
      <c r="I101">
        <f>IF(MONTH(calls[[#This Row],[Date of Call]])&lt;=6, YEAR(calls[[#This Row],[Date of Call]]), YEAR(calls[[#This Row],[Date of Call]])+1)</f>
        <v>2025</v>
      </c>
      <c r="J101" t="str">
        <f>TEXT(calls[[#This Row],[Date of Call]],"DDDD")</f>
        <v>Saturday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45697</v>
      </c>
      <c r="G102">
        <v>84</v>
      </c>
      <c r="H102">
        <v>4.5999999999999996</v>
      </c>
      <c r="I102">
        <f>IF(MONTH(calls[[#This Row],[Date of Call]])&lt;=6, YEAR(calls[[#This Row],[Date of Call]]), YEAR(calls[[#This Row],[Date of Call]])+1)</f>
        <v>2025</v>
      </c>
      <c r="J102" t="str">
        <f>TEXT(calls[[#This Row],[Date of Call]],"DDDD")</f>
        <v>Sunday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45698</v>
      </c>
      <c r="G103">
        <v>112</v>
      </c>
      <c r="H103">
        <v>4.5</v>
      </c>
      <c r="I103">
        <f>IF(MONTH(calls[[#This Row],[Date of Call]])&lt;=6, YEAR(calls[[#This Row],[Date of Call]]), YEAR(calls[[#This Row],[Date of Call]])+1)</f>
        <v>2025</v>
      </c>
      <c r="J103" t="str">
        <f>TEXT(calls[[#This Row],[Date of Call]],"DDDD")</f>
        <v>Monday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45698</v>
      </c>
      <c r="G104">
        <v>66</v>
      </c>
      <c r="H104">
        <v>4.5999999999999996</v>
      </c>
      <c r="I104">
        <f>IF(MONTH(calls[[#This Row],[Date of Call]])&lt;=6, YEAR(calls[[#This Row],[Date of Call]]), YEAR(calls[[#This Row],[Date of Call]])+1)</f>
        <v>2025</v>
      </c>
      <c r="J104" t="str">
        <f>TEXT(calls[[#This Row],[Date of Call]],"DDDD")</f>
        <v>Monday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45698</v>
      </c>
      <c r="G105">
        <v>172</v>
      </c>
      <c r="H105">
        <v>2.6</v>
      </c>
      <c r="I105">
        <f>IF(MONTH(calls[[#This Row],[Date of Call]])&lt;=6, YEAR(calls[[#This Row],[Date of Call]]), YEAR(calls[[#This Row],[Date of Call]])+1)</f>
        <v>2025</v>
      </c>
      <c r="J105" t="str">
        <f>TEXT(calls[[#This Row],[Date of Call]],"DDDD")</f>
        <v>Monday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45699</v>
      </c>
      <c r="G106">
        <v>24</v>
      </c>
      <c r="H106">
        <v>4.3</v>
      </c>
      <c r="I106">
        <f>IF(MONTH(calls[[#This Row],[Date of Call]])&lt;=6, YEAR(calls[[#This Row],[Date of Call]]), YEAR(calls[[#This Row],[Date of Call]])+1)</f>
        <v>2025</v>
      </c>
      <c r="J106" t="str">
        <f>TEXT(calls[[#This Row],[Date of Call]],"DDDD")</f>
        <v>Tuesday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45700</v>
      </c>
      <c r="G107">
        <v>43</v>
      </c>
      <c r="H107">
        <v>3.9</v>
      </c>
      <c r="I107">
        <f>IF(MONTH(calls[[#This Row],[Date of Call]])&lt;=6, YEAR(calls[[#This Row],[Date of Call]]), YEAR(calls[[#This Row],[Date of Call]])+1)</f>
        <v>2025</v>
      </c>
      <c r="J107" t="str">
        <f>TEXT(calls[[#This Row],[Date of Call]],"DDDD")</f>
        <v>Wednesday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45700</v>
      </c>
      <c r="G108">
        <v>23</v>
      </c>
      <c r="H108">
        <v>5</v>
      </c>
      <c r="I108">
        <f>IF(MONTH(calls[[#This Row],[Date of Call]])&lt;=6, YEAR(calls[[#This Row],[Date of Call]]), YEAR(calls[[#This Row],[Date of Call]])+1)</f>
        <v>2025</v>
      </c>
      <c r="J108" t="str">
        <f>TEXT(calls[[#This Row],[Date of Call]],"DDDD")</f>
        <v>Wednesday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45700</v>
      </c>
      <c r="G109">
        <v>74</v>
      </c>
      <c r="H109">
        <v>3.5</v>
      </c>
      <c r="I109">
        <f>IF(MONTH(calls[[#This Row],[Date of Call]])&lt;=6, YEAR(calls[[#This Row],[Date of Call]]), YEAR(calls[[#This Row],[Date of Call]])+1)</f>
        <v>2025</v>
      </c>
      <c r="J109" t="str">
        <f>TEXT(calls[[#This Row],[Date of Call]],"DDDD")</f>
        <v>Wednesday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45701</v>
      </c>
      <c r="G110">
        <v>165</v>
      </c>
      <c r="H110">
        <v>4.7</v>
      </c>
      <c r="I110">
        <f>IF(MONTH(calls[[#This Row],[Date of Call]])&lt;=6, YEAR(calls[[#This Row],[Date of Call]]), YEAR(calls[[#This Row],[Date of Call]])+1)</f>
        <v>2025</v>
      </c>
      <c r="J110" t="str">
        <f>TEXT(calls[[#This Row],[Date of Call]],"DDDD")</f>
        <v>Thursday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45701</v>
      </c>
      <c r="G111">
        <v>34</v>
      </c>
      <c r="H111">
        <v>2.9</v>
      </c>
      <c r="I111">
        <f>IF(MONTH(calls[[#This Row],[Date of Call]])&lt;=6, YEAR(calls[[#This Row],[Date of Call]]), YEAR(calls[[#This Row],[Date of Call]])+1)</f>
        <v>2025</v>
      </c>
      <c r="J111" t="str">
        <f>TEXT(calls[[#This Row],[Date of Call]],"DDDD")</f>
        <v>Thursday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45701</v>
      </c>
      <c r="G112">
        <v>64</v>
      </c>
      <c r="H112">
        <v>3.4</v>
      </c>
      <c r="I112">
        <f>IF(MONTH(calls[[#This Row],[Date of Call]])&lt;=6, YEAR(calls[[#This Row],[Date of Call]]), YEAR(calls[[#This Row],[Date of Call]])+1)</f>
        <v>2025</v>
      </c>
      <c r="J112" t="str">
        <f>TEXT(calls[[#This Row],[Date of Call]],"DDDD")</f>
        <v>Thursday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45702</v>
      </c>
      <c r="G113">
        <v>155</v>
      </c>
      <c r="H113">
        <v>3.2</v>
      </c>
      <c r="I113">
        <f>IF(MONTH(calls[[#This Row],[Date of Call]])&lt;=6, YEAR(calls[[#This Row],[Date of Call]]), YEAR(calls[[#This Row],[Date of Call]])+1)</f>
        <v>2025</v>
      </c>
      <c r="J113" t="str">
        <f>TEXT(calls[[#This Row],[Date of Call]],"DDDD")</f>
        <v>Friday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45703</v>
      </c>
      <c r="G114">
        <v>120</v>
      </c>
      <c r="H114">
        <v>4.8</v>
      </c>
      <c r="I114">
        <f>IF(MONTH(calls[[#This Row],[Date of Call]])&lt;=6, YEAR(calls[[#This Row],[Date of Call]]), YEAR(calls[[#This Row],[Date of Call]])+1)</f>
        <v>2025</v>
      </c>
      <c r="J114" t="str">
        <f>TEXT(calls[[#This Row],[Date of Call]],"DDDD")</f>
        <v>Saturday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45703</v>
      </c>
      <c r="G115">
        <v>105</v>
      </c>
      <c r="H115">
        <v>3.6</v>
      </c>
      <c r="I115">
        <f>IF(MONTH(calls[[#This Row],[Date of Call]])&lt;=6, YEAR(calls[[#This Row],[Date of Call]]), YEAR(calls[[#This Row],[Date of Call]])+1)</f>
        <v>2025</v>
      </c>
      <c r="J115" t="str">
        <f>TEXT(calls[[#This Row],[Date of Call]],"DDDD")</f>
        <v>Saturday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45703</v>
      </c>
      <c r="G116">
        <v>28</v>
      </c>
      <c r="H116">
        <v>4.9000000000000004</v>
      </c>
      <c r="I116">
        <f>IF(MONTH(calls[[#This Row],[Date of Call]])&lt;=6, YEAR(calls[[#This Row],[Date of Call]]), YEAR(calls[[#This Row],[Date of Call]])+1)</f>
        <v>2025</v>
      </c>
      <c r="J116" t="str">
        <f>TEXT(calls[[#This Row],[Date of Call]],"DDDD")</f>
        <v>Saturday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45703</v>
      </c>
      <c r="G117">
        <v>100</v>
      </c>
      <c r="H117">
        <v>4.8</v>
      </c>
      <c r="I117">
        <f>IF(MONTH(calls[[#This Row],[Date of Call]])&lt;=6, YEAR(calls[[#This Row],[Date of Call]]), YEAR(calls[[#This Row],[Date of Call]])+1)</f>
        <v>2025</v>
      </c>
      <c r="J117" t="str">
        <f>TEXT(calls[[#This Row],[Date of Call]],"DDDD")</f>
        <v>Saturday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45703</v>
      </c>
      <c r="G118">
        <v>23</v>
      </c>
      <c r="H118">
        <v>3.6</v>
      </c>
      <c r="I118">
        <f>IF(MONTH(calls[[#This Row],[Date of Call]])&lt;=6, YEAR(calls[[#This Row],[Date of Call]]), YEAR(calls[[#This Row],[Date of Call]])+1)</f>
        <v>2025</v>
      </c>
      <c r="J118" t="str">
        <f>TEXT(calls[[#This Row],[Date of Call]],"DDDD")</f>
        <v>Saturday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45704</v>
      </c>
      <c r="G119">
        <v>70</v>
      </c>
      <c r="H119">
        <v>3.9</v>
      </c>
      <c r="I119">
        <f>IF(MONTH(calls[[#This Row],[Date of Call]])&lt;=6, YEAR(calls[[#This Row],[Date of Call]]), YEAR(calls[[#This Row],[Date of Call]])+1)</f>
        <v>2025</v>
      </c>
      <c r="J119" t="str">
        <f>TEXT(calls[[#This Row],[Date of Call]],"DDDD")</f>
        <v>Sunday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45704</v>
      </c>
      <c r="G120">
        <v>37</v>
      </c>
      <c r="H120">
        <v>1.9</v>
      </c>
      <c r="I120">
        <f>IF(MONTH(calls[[#This Row],[Date of Call]])&lt;=6, YEAR(calls[[#This Row],[Date of Call]]), YEAR(calls[[#This Row],[Date of Call]])+1)</f>
        <v>2025</v>
      </c>
      <c r="J120" t="str">
        <f>TEXT(calls[[#This Row],[Date of Call]],"DDDD")</f>
        <v>Sunday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45704</v>
      </c>
      <c r="G121">
        <v>140</v>
      </c>
      <c r="H121">
        <v>3.6</v>
      </c>
      <c r="I121">
        <f>IF(MONTH(calls[[#This Row],[Date of Call]])&lt;=6, YEAR(calls[[#This Row],[Date of Call]]), YEAR(calls[[#This Row],[Date of Call]])+1)</f>
        <v>2025</v>
      </c>
      <c r="J121" t="str">
        <f>TEXT(calls[[#This Row],[Date of Call]],"DDDD")</f>
        <v>Sunday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45704</v>
      </c>
      <c r="G122">
        <v>78</v>
      </c>
      <c r="H122">
        <v>4.0999999999999996</v>
      </c>
      <c r="I122">
        <f>IF(MONTH(calls[[#This Row],[Date of Call]])&lt;=6, YEAR(calls[[#This Row],[Date of Call]]), YEAR(calls[[#This Row],[Date of Call]])+1)</f>
        <v>2025</v>
      </c>
      <c r="J122" t="str">
        <f>TEXT(calls[[#This Row],[Date of Call]],"DDDD")</f>
        <v>Sunday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45705</v>
      </c>
      <c r="G123">
        <v>21</v>
      </c>
      <c r="H123">
        <v>4.2</v>
      </c>
      <c r="I123">
        <f>IF(MONTH(calls[[#This Row],[Date of Call]])&lt;=6, YEAR(calls[[#This Row],[Date of Call]]), YEAR(calls[[#This Row],[Date of Call]])+1)</f>
        <v>2025</v>
      </c>
      <c r="J123" t="str">
        <f>TEXT(calls[[#This Row],[Date of Call]],"DDDD")</f>
        <v>Monday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45705</v>
      </c>
      <c r="G124">
        <v>88</v>
      </c>
      <c r="H124">
        <v>4.3</v>
      </c>
      <c r="I124">
        <f>IF(MONTH(calls[[#This Row],[Date of Call]])&lt;=6, YEAR(calls[[#This Row],[Date of Call]]), YEAR(calls[[#This Row],[Date of Call]])+1)</f>
        <v>2025</v>
      </c>
      <c r="J124" t="str">
        <f>TEXT(calls[[#This Row],[Date of Call]],"DDDD")</f>
        <v>Monday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45706</v>
      </c>
      <c r="G125">
        <v>180</v>
      </c>
      <c r="H125">
        <v>2.2000000000000002</v>
      </c>
      <c r="I125">
        <f>IF(MONTH(calls[[#This Row],[Date of Call]])&lt;=6, YEAR(calls[[#This Row],[Date of Call]]), YEAR(calls[[#This Row],[Date of Call]])+1)</f>
        <v>2025</v>
      </c>
      <c r="J125" t="str">
        <f>TEXT(calls[[#This Row],[Date of Call]],"DDDD")</f>
        <v>Tuesday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45706</v>
      </c>
      <c r="G126">
        <v>22</v>
      </c>
      <c r="H126">
        <v>3.3</v>
      </c>
      <c r="I126">
        <f>IF(MONTH(calls[[#This Row],[Date of Call]])&lt;=6, YEAR(calls[[#This Row],[Date of Call]]), YEAR(calls[[#This Row],[Date of Call]])+1)</f>
        <v>2025</v>
      </c>
      <c r="J126" t="str">
        <f>TEXT(calls[[#This Row],[Date of Call]],"DDDD")</f>
        <v>Tuesday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45706</v>
      </c>
      <c r="G127">
        <v>52</v>
      </c>
      <c r="H127">
        <v>4.8</v>
      </c>
      <c r="I127">
        <f>IF(MONTH(calls[[#This Row],[Date of Call]])&lt;=6, YEAR(calls[[#This Row],[Date of Call]]), YEAR(calls[[#This Row],[Date of Call]])+1)</f>
        <v>2025</v>
      </c>
      <c r="J127" t="str">
        <f>TEXT(calls[[#This Row],[Date of Call]],"DDDD")</f>
        <v>Tuesday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45707</v>
      </c>
      <c r="G128">
        <v>80</v>
      </c>
      <c r="H128">
        <v>4</v>
      </c>
      <c r="I128">
        <f>IF(MONTH(calls[[#This Row],[Date of Call]])&lt;=6, YEAR(calls[[#This Row],[Date of Call]]), YEAR(calls[[#This Row],[Date of Call]])+1)</f>
        <v>2025</v>
      </c>
      <c r="J128" t="str">
        <f>TEXT(calls[[#This Row],[Date of Call]],"DDDD")</f>
        <v>Wednesday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45707</v>
      </c>
      <c r="G129">
        <v>54</v>
      </c>
      <c r="H129">
        <v>1.1000000000000001</v>
      </c>
      <c r="I129">
        <f>IF(MONTH(calls[[#This Row],[Date of Call]])&lt;=6, YEAR(calls[[#This Row],[Date of Call]]), YEAR(calls[[#This Row],[Date of Call]])+1)</f>
        <v>2025</v>
      </c>
      <c r="J129" t="str">
        <f>TEXT(calls[[#This Row],[Date of Call]],"DDDD")</f>
        <v>Wednesday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45708</v>
      </c>
      <c r="G130">
        <v>80</v>
      </c>
      <c r="H130">
        <v>3.9</v>
      </c>
      <c r="I130">
        <f>IF(MONTH(calls[[#This Row],[Date of Call]])&lt;=6, YEAR(calls[[#This Row],[Date of Call]]), YEAR(calls[[#This Row],[Date of Call]])+1)</f>
        <v>2025</v>
      </c>
      <c r="J130" t="str">
        <f>TEXT(calls[[#This Row],[Date of Call]],"DDDD")</f>
        <v>Thursday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45709</v>
      </c>
      <c r="G131">
        <v>120</v>
      </c>
      <c r="H131">
        <v>1.8</v>
      </c>
      <c r="I131">
        <f>IF(MONTH(calls[[#This Row],[Date of Call]])&lt;=6, YEAR(calls[[#This Row],[Date of Call]]), YEAR(calls[[#This Row],[Date of Call]])+1)</f>
        <v>2025</v>
      </c>
      <c r="J131" t="str">
        <f>TEXT(calls[[#This Row],[Date of Call]],"DDDD")</f>
        <v>Friday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45709</v>
      </c>
      <c r="G132">
        <v>150</v>
      </c>
      <c r="H132">
        <v>1</v>
      </c>
      <c r="I132">
        <f>IF(MONTH(calls[[#This Row],[Date of Call]])&lt;=6, YEAR(calls[[#This Row],[Date of Call]]), YEAR(calls[[#This Row],[Date of Call]])+1)</f>
        <v>2025</v>
      </c>
      <c r="J132" t="str">
        <f>TEXT(calls[[#This Row],[Date of Call]],"DDDD")</f>
        <v>Friday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45709</v>
      </c>
      <c r="G133">
        <v>90</v>
      </c>
      <c r="H133">
        <v>4.3</v>
      </c>
      <c r="I133">
        <f>IF(MONTH(calls[[#This Row],[Date of Call]])&lt;=6, YEAR(calls[[#This Row],[Date of Call]]), YEAR(calls[[#This Row],[Date of Call]])+1)</f>
        <v>2025</v>
      </c>
      <c r="J133" t="str">
        <f>TEXT(calls[[#This Row],[Date of Call]],"DDDD")</f>
        <v>Friday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45710</v>
      </c>
      <c r="G134">
        <v>140</v>
      </c>
      <c r="H134">
        <v>3.4</v>
      </c>
      <c r="I134">
        <f>IF(MONTH(calls[[#This Row],[Date of Call]])&lt;=6, YEAR(calls[[#This Row],[Date of Call]]), YEAR(calls[[#This Row],[Date of Call]])+1)</f>
        <v>2025</v>
      </c>
      <c r="J134" t="str">
        <f>TEXT(calls[[#This Row],[Date of Call]],"DDDD")</f>
        <v>Saturday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45710</v>
      </c>
      <c r="G135">
        <v>22</v>
      </c>
      <c r="H135">
        <v>3.4</v>
      </c>
      <c r="I135">
        <f>IF(MONTH(calls[[#This Row],[Date of Call]])&lt;=6, YEAR(calls[[#This Row],[Date of Call]]), YEAR(calls[[#This Row],[Date of Call]])+1)</f>
        <v>2025</v>
      </c>
      <c r="J135" t="str">
        <f>TEXT(calls[[#This Row],[Date of Call]],"DDDD")</f>
        <v>Saturday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45713</v>
      </c>
      <c r="G136">
        <v>150</v>
      </c>
      <c r="H136">
        <v>4.0999999999999996</v>
      </c>
      <c r="I136">
        <f>IF(MONTH(calls[[#This Row],[Date of Call]])&lt;=6, YEAR(calls[[#This Row],[Date of Call]]), YEAR(calls[[#This Row],[Date of Call]])+1)</f>
        <v>2025</v>
      </c>
      <c r="J136" t="str">
        <f>TEXT(calls[[#This Row],[Date of Call]],"DDDD")</f>
        <v>Tuesday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45712</v>
      </c>
      <c r="G137">
        <v>35</v>
      </c>
      <c r="H137">
        <v>4.8</v>
      </c>
      <c r="I137">
        <f>IF(MONTH(calls[[#This Row],[Date of Call]])&lt;=6, YEAR(calls[[#This Row],[Date of Call]]), YEAR(calls[[#This Row],[Date of Call]])+1)</f>
        <v>2025</v>
      </c>
      <c r="J137" t="str">
        <f>TEXT(calls[[#This Row],[Date of Call]],"DDDD")</f>
        <v>Monday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45712</v>
      </c>
      <c r="G138">
        <v>200</v>
      </c>
      <c r="H138">
        <v>2</v>
      </c>
      <c r="I138">
        <f>IF(MONTH(calls[[#This Row],[Date of Call]])&lt;=6, YEAR(calls[[#This Row],[Date of Call]]), YEAR(calls[[#This Row],[Date of Call]])+1)</f>
        <v>2025</v>
      </c>
      <c r="J138" t="str">
        <f>TEXT(calls[[#This Row],[Date of Call]],"DDDD")</f>
        <v>Monday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45713</v>
      </c>
      <c r="G139">
        <v>150</v>
      </c>
      <c r="H139">
        <v>4.5999999999999996</v>
      </c>
      <c r="I139">
        <f>IF(MONTH(calls[[#This Row],[Date of Call]])&lt;=6, YEAR(calls[[#This Row],[Date of Call]]), YEAR(calls[[#This Row],[Date of Call]])+1)</f>
        <v>2025</v>
      </c>
      <c r="J139" t="str">
        <f>TEXT(calls[[#This Row],[Date of Call]],"DDDD")</f>
        <v>Tuesday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45713</v>
      </c>
      <c r="G140">
        <v>21</v>
      </c>
      <c r="H140">
        <v>2.6</v>
      </c>
      <c r="I140">
        <f>IF(MONTH(calls[[#This Row],[Date of Call]])&lt;=6, YEAR(calls[[#This Row],[Date of Call]]), YEAR(calls[[#This Row],[Date of Call]])+1)</f>
        <v>2025</v>
      </c>
      <c r="J140" t="str">
        <f>TEXT(calls[[#This Row],[Date of Call]],"DDDD")</f>
        <v>Tuesday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45714</v>
      </c>
      <c r="G141">
        <v>46</v>
      </c>
      <c r="H141">
        <v>4.9000000000000004</v>
      </c>
      <c r="I141">
        <f>IF(MONTH(calls[[#This Row],[Date of Call]])&lt;=6, YEAR(calls[[#This Row],[Date of Call]]), YEAR(calls[[#This Row],[Date of Call]])+1)</f>
        <v>2025</v>
      </c>
      <c r="J141" t="str">
        <f>TEXT(calls[[#This Row],[Date of Call]],"DDDD")</f>
        <v>Wednesday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45714</v>
      </c>
      <c r="G142">
        <v>165</v>
      </c>
      <c r="H142">
        <v>2.7</v>
      </c>
      <c r="I142">
        <f>IF(MONTH(calls[[#This Row],[Date of Call]])&lt;=6, YEAR(calls[[#This Row],[Date of Call]]), YEAR(calls[[#This Row],[Date of Call]])+1)</f>
        <v>2025</v>
      </c>
      <c r="J142" t="str">
        <f>TEXT(calls[[#This Row],[Date of Call]],"DDDD")</f>
        <v>Wednesday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45714</v>
      </c>
      <c r="G143">
        <v>84</v>
      </c>
      <c r="H143">
        <v>4.0999999999999996</v>
      </c>
      <c r="I143">
        <f>IF(MONTH(calls[[#This Row],[Date of Call]])&lt;=6, YEAR(calls[[#This Row],[Date of Call]]), YEAR(calls[[#This Row],[Date of Call]])+1)</f>
        <v>2025</v>
      </c>
      <c r="J143" t="str">
        <f>TEXT(calls[[#This Row],[Date of Call]],"DDDD")</f>
        <v>Wednesday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45715</v>
      </c>
      <c r="G144">
        <v>102</v>
      </c>
      <c r="H144">
        <v>4.4000000000000004</v>
      </c>
      <c r="I144">
        <f>IF(MONTH(calls[[#This Row],[Date of Call]])&lt;=6, YEAR(calls[[#This Row],[Date of Call]]), YEAR(calls[[#This Row],[Date of Call]])+1)</f>
        <v>2025</v>
      </c>
      <c r="J144" t="str">
        <f>TEXT(calls[[#This Row],[Date of Call]],"DDDD")</f>
        <v>Thursday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45715</v>
      </c>
      <c r="G145">
        <v>180</v>
      </c>
      <c r="H145">
        <v>4.8</v>
      </c>
      <c r="I145">
        <f>IF(MONTH(calls[[#This Row],[Date of Call]])&lt;=6, YEAR(calls[[#This Row],[Date of Call]]), YEAR(calls[[#This Row],[Date of Call]])+1)</f>
        <v>2025</v>
      </c>
      <c r="J145" t="str">
        <f>TEXT(calls[[#This Row],[Date of Call]],"DDDD")</f>
        <v>Thursday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45716</v>
      </c>
      <c r="G146">
        <v>111</v>
      </c>
      <c r="H146">
        <v>3</v>
      </c>
      <c r="I146">
        <f>IF(MONTH(calls[[#This Row],[Date of Call]])&lt;=6, YEAR(calls[[#This Row],[Date of Call]]), YEAR(calls[[#This Row],[Date of Call]])+1)</f>
        <v>2025</v>
      </c>
      <c r="J146" t="str">
        <f>TEXT(calls[[#This Row],[Date of Call]],"DDDD")</f>
        <v>Friday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45716</v>
      </c>
      <c r="G147">
        <v>104</v>
      </c>
      <c r="H147">
        <v>3.1</v>
      </c>
      <c r="I147">
        <f>IF(MONTH(calls[[#This Row],[Date of Call]])&lt;=6, YEAR(calls[[#This Row],[Date of Call]]), YEAR(calls[[#This Row],[Date of Call]])+1)</f>
        <v>2025</v>
      </c>
      <c r="J147" t="str">
        <f>TEXT(calls[[#This Row],[Date of Call]],"DDDD")</f>
        <v>Friday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45716</v>
      </c>
      <c r="G148">
        <v>80</v>
      </c>
      <c r="H148">
        <v>2.6</v>
      </c>
      <c r="I148">
        <f>IF(MONTH(calls[[#This Row],[Date of Call]])&lt;=6, YEAR(calls[[#This Row],[Date of Call]]), YEAR(calls[[#This Row],[Date of Call]])+1)</f>
        <v>2025</v>
      </c>
      <c r="J148" t="str">
        <f>TEXT(calls[[#This Row],[Date of Call]],"DDDD")</f>
        <v>Friday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45717</v>
      </c>
      <c r="G149">
        <v>132</v>
      </c>
      <c r="H149">
        <v>4.5999999999999996</v>
      </c>
      <c r="I149">
        <f>IF(MONTH(calls[[#This Row],[Date of Call]])&lt;=6, YEAR(calls[[#This Row],[Date of Call]]), YEAR(calls[[#This Row],[Date of Call]])+1)</f>
        <v>2025</v>
      </c>
      <c r="J149" t="str">
        <f>TEXT(calls[[#This Row],[Date of Call]],"DDDD")</f>
        <v>Saturday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45717</v>
      </c>
      <c r="G150">
        <v>170</v>
      </c>
      <c r="H150">
        <v>3.7</v>
      </c>
      <c r="I150">
        <f>IF(MONTH(calls[[#This Row],[Date of Call]])&lt;=6, YEAR(calls[[#This Row],[Date of Call]]), YEAR(calls[[#This Row],[Date of Call]])+1)</f>
        <v>2025</v>
      </c>
      <c r="J150" t="str">
        <f>TEXT(calls[[#This Row],[Date of Call]],"DDDD")</f>
        <v>Saturday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45717</v>
      </c>
      <c r="G151">
        <v>36</v>
      </c>
      <c r="H151">
        <v>3.8</v>
      </c>
      <c r="I151">
        <f>IF(MONTH(calls[[#This Row],[Date of Call]])&lt;=6, YEAR(calls[[#This Row],[Date of Call]]), YEAR(calls[[#This Row],[Date of Call]])+1)</f>
        <v>2025</v>
      </c>
      <c r="J151" t="str">
        <f>TEXT(calls[[#This Row],[Date of Call]],"DDDD")</f>
        <v>Saturday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45717</v>
      </c>
      <c r="G152">
        <v>126</v>
      </c>
      <c r="H152">
        <v>3.6</v>
      </c>
      <c r="I152">
        <f>IF(MONTH(calls[[#This Row],[Date of Call]])&lt;=6, YEAR(calls[[#This Row],[Date of Call]]), YEAR(calls[[#This Row],[Date of Call]])+1)</f>
        <v>2025</v>
      </c>
      <c r="J152" t="str">
        <f>TEXT(calls[[#This Row],[Date of Call]],"DDDD")</f>
        <v>Saturday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45717</v>
      </c>
      <c r="G153">
        <v>215</v>
      </c>
      <c r="H153">
        <v>4.4000000000000004</v>
      </c>
      <c r="I153">
        <f>IF(MONTH(calls[[#This Row],[Date of Call]])&lt;=6, YEAR(calls[[#This Row],[Date of Call]]), YEAR(calls[[#This Row],[Date of Call]])+1)</f>
        <v>2025</v>
      </c>
      <c r="J153" t="str">
        <f>TEXT(calls[[#This Row],[Date of Call]],"DDDD")</f>
        <v>Saturday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45717</v>
      </c>
      <c r="G154">
        <v>114</v>
      </c>
      <c r="H154">
        <v>3.2</v>
      </c>
      <c r="I154">
        <f>IF(MONTH(calls[[#This Row],[Date of Call]])&lt;=6, YEAR(calls[[#This Row],[Date of Call]]), YEAR(calls[[#This Row],[Date of Call]])+1)</f>
        <v>2025</v>
      </c>
      <c r="J154" t="str">
        <f>TEXT(calls[[#This Row],[Date of Call]],"DDDD")</f>
        <v>Saturday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45717</v>
      </c>
      <c r="G155">
        <v>99</v>
      </c>
      <c r="H155">
        <v>4.7</v>
      </c>
      <c r="I155">
        <f>IF(MONTH(calls[[#This Row],[Date of Call]])&lt;=6, YEAR(calls[[#This Row],[Date of Call]]), YEAR(calls[[#This Row],[Date of Call]])+1)</f>
        <v>2025</v>
      </c>
      <c r="J155" t="str">
        <f>TEXT(calls[[#This Row],[Date of Call]],"DDDD")</f>
        <v>Saturday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45718</v>
      </c>
      <c r="G156">
        <v>23</v>
      </c>
      <c r="H156">
        <v>4.8</v>
      </c>
      <c r="I156">
        <f>IF(MONTH(calls[[#This Row],[Date of Call]])&lt;=6, YEAR(calls[[#This Row],[Date of Call]]), YEAR(calls[[#This Row],[Date of Call]])+1)</f>
        <v>2025</v>
      </c>
      <c r="J156" t="str">
        <f>TEXT(calls[[#This Row],[Date of Call]],"DDDD")</f>
        <v>Sunday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45718</v>
      </c>
      <c r="G157">
        <v>75</v>
      </c>
      <c r="H157">
        <v>2.7</v>
      </c>
      <c r="I157">
        <f>IF(MONTH(calls[[#This Row],[Date of Call]])&lt;=6, YEAR(calls[[#This Row],[Date of Call]]), YEAR(calls[[#This Row],[Date of Call]])+1)</f>
        <v>2025</v>
      </c>
      <c r="J157" t="str">
        <f>TEXT(calls[[#This Row],[Date of Call]],"DDDD")</f>
        <v>Sunday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45718</v>
      </c>
      <c r="G158">
        <v>100</v>
      </c>
      <c r="H158">
        <v>3.8</v>
      </c>
      <c r="I158">
        <f>IF(MONTH(calls[[#This Row],[Date of Call]])&lt;=6, YEAR(calls[[#This Row],[Date of Call]]), YEAR(calls[[#This Row],[Date of Call]])+1)</f>
        <v>2025</v>
      </c>
      <c r="J158" t="str">
        <f>TEXT(calls[[#This Row],[Date of Call]],"DDDD")</f>
        <v>Sunday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45718</v>
      </c>
      <c r="G159">
        <v>108</v>
      </c>
      <c r="H159">
        <v>4.3</v>
      </c>
      <c r="I159">
        <f>IF(MONTH(calls[[#This Row],[Date of Call]])&lt;=6, YEAR(calls[[#This Row],[Date of Call]]), YEAR(calls[[#This Row],[Date of Call]])+1)</f>
        <v>2025</v>
      </c>
      <c r="J159" t="str">
        <f>TEXT(calls[[#This Row],[Date of Call]],"DDDD")</f>
        <v>Sunday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45718</v>
      </c>
      <c r="G160">
        <v>108</v>
      </c>
      <c r="H160">
        <v>5</v>
      </c>
      <c r="I160">
        <f>IF(MONTH(calls[[#This Row],[Date of Call]])&lt;=6, YEAR(calls[[#This Row],[Date of Call]]), YEAR(calls[[#This Row],[Date of Call]])+1)</f>
        <v>2025</v>
      </c>
      <c r="J160" t="str">
        <f>TEXT(calls[[#This Row],[Date of Call]],"DDDD")</f>
        <v>Sunday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45718</v>
      </c>
      <c r="G161">
        <v>28</v>
      </c>
      <c r="H161">
        <v>4.8</v>
      </c>
      <c r="I161">
        <f>IF(MONTH(calls[[#This Row],[Date of Call]])&lt;=6, YEAR(calls[[#This Row],[Date of Call]]), YEAR(calls[[#This Row],[Date of Call]])+1)</f>
        <v>2025</v>
      </c>
      <c r="J161" t="str">
        <f>TEXT(calls[[#This Row],[Date of Call]],"DDDD")</f>
        <v>Sunday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45719</v>
      </c>
      <c r="G162">
        <v>70</v>
      </c>
      <c r="H162">
        <v>4.9000000000000004</v>
      </c>
      <c r="I162">
        <f>IF(MONTH(calls[[#This Row],[Date of Call]])&lt;=6, YEAR(calls[[#This Row],[Date of Call]]), YEAR(calls[[#This Row],[Date of Call]])+1)</f>
        <v>2025</v>
      </c>
      <c r="J162" t="str">
        <f>TEXT(calls[[#This Row],[Date of Call]],"DDDD")</f>
        <v>Monday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45719</v>
      </c>
      <c r="G163">
        <v>172</v>
      </c>
      <c r="H163">
        <v>4.0999999999999996</v>
      </c>
      <c r="I163">
        <f>IF(MONTH(calls[[#This Row],[Date of Call]])&lt;=6, YEAR(calls[[#This Row],[Date of Call]]), YEAR(calls[[#This Row],[Date of Call]])+1)</f>
        <v>2025</v>
      </c>
      <c r="J163" t="str">
        <f>TEXT(calls[[#This Row],[Date of Call]],"DDDD")</f>
        <v>Monday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45719</v>
      </c>
      <c r="G164">
        <v>123</v>
      </c>
      <c r="H164">
        <v>4.4000000000000004</v>
      </c>
      <c r="I164">
        <f>IF(MONTH(calls[[#This Row],[Date of Call]])&lt;=6, YEAR(calls[[#This Row],[Date of Call]]), YEAR(calls[[#This Row],[Date of Call]])+1)</f>
        <v>2025</v>
      </c>
      <c r="J164" t="str">
        <f>TEXT(calls[[#This Row],[Date of Call]],"DDDD")</f>
        <v>Monday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45719</v>
      </c>
      <c r="G165">
        <v>93</v>
      </c>
      <c r="H165">
        <v>3.4</v>
      </c>
      <c r="I165">
        <f>IF(MONTH(calls[[#This Row],[Date of Call]])&lt;=6, YEAR(calls[[#This Row],[Date of Call]]), YEAR(calls[[#This Row],[Date of Call]])+1)</f>
        <v>2025</v>
      </c>
      <c r="J165" t="str">
        <f>TEXT(calls[[#This Row],[Date of Call]],"DDDD")</f>
        <v>Monday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45719</v>
      </c>
      <c r="G166">
        <v>66</v>
      </c>
      <c r="H166">
        <v>4</v>
      </c>
      <c r="I166">
        <f>IF(MONTH(calls[[#This Row],[Date of Call]])&lt;=6, YEAR(calls[[#This Row],[Date of Call]]), YEAR(calls[[#This Row],[Date of Call]])+1)</f>
        <v>2025</v>
      </c>
      <c r="J166" t="str">
        <f>TEXT(calls[[#This Row],[Date of Call]],"DDDD")</f>
        <v>Monday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45719</v>
      </c>
      <c r="G167">
        <v>39</v>
      </c>
      <c r="H167">
        <v>2.4</v>
      </c>
      <c r="I167">
        <f>IF(MONTH(calls[[#This Row],[Date of Call]])&lt;=6, YEAR(calls[[#This Row],[Date of Call]]), YEAR(calls[[#This Row],[Date of Call]])+1)</f>
        <v>2025</v>
      </c>
      <c r="J167" t="str">
        <f>TEXT(calls[[#This Row],[Date of Call]],"DDDD")</f>
        <v>Monday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45719</v>
      </c>
      <c r="G168">
        <v>25</v>
      </c>
      <c r="H168">
        <v>2.1</v>
      </c>
      <c r="I168">
        <f>IF(MONTH(calls[[#This Row],[Date of Call]])&lt;=6, YEAR(calls[[#This Row],[Date of Call]]), YEAR(calls[[#This Row],[Date of Call]])+1)</f>
        <v>2025</v>
      </c>
      <c r="J168" t="str">
        <f>TEXT(calls[[#This Row],[Date of Call]],"DDDD")</f>
        <v>Monday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45719</v>
      </c>
      <c r="G169">
        <v>68</v>
      </c>
      <c r="H169">
        <v>3</v>
      </c>
      <c r="I169">
        <f>IF(MONTH(calls[[#This Row],[Date of Call]])&lt;=6, YEAR(calls[[#This Row],[Date of Call]]), YEAR(calls[[#This Row],[Date of Call]])+1)</f>
        <v>2025</v>
      </c>
      <c r="J169" t="str">
        <f>TEXT(calls[[#This Row],[Date of Call]],"DDDD")</f>
        <v>Monday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45719</v>
      </c>
      <c r="G170">
        <v>84</v>
      </c>
      <c r="H170">
        <v>3.2</v>
      </c>
      <c r="I170">
        <f>IF(MONTH(calls[[#This Row],[Date of Call]])&lt;=6, YEAR(calls[[#This Row],[Date of Call]]), YEAR(calls[[#This Row],[Date of Call]])+1)</f>
        <v>2025</v>
      </c>
      <c r="J170" t="str">
        <f>TEXT(calls[[#This Row],[Date of Call]],"DDDD")</f>
        <v>Monday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45720</v>
      </c>
      <c r="G171">
        <v>88</v>
      </c>
      <c r="H171">
        <v>3.4</v>
      </c>
      <c r="I171">
        <f>IF(MONTH(calls[[#This Row],[Date of Call]])&lt;=6, YEAR(calls[[#This Row],[Date of Call]]), YEAR(calls[[#This Row],[Date of Call]])+1)</f>
        <v>2025</v>
      </c>
      <c r="J171" t="str">
        <f>TEXT(calls[[#This Row],[Date of Call]],"DDDD")</f>
        <v>Tuesday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45720</v>
      </c>
      <c r="G172">
        <v>93</v>
      </c>
      <c r="H172">
        <v>2.7</v>
      </c>
      <c r="I172">
        <f>IF(MONTH(calls[[#This Row],[Date of Call]])&lt;=6, YEAR(calls[[#This Row],[Date of Call]]), YEAR(calls[[#This Row],[Date of Call]])+1)</f>
        <v>2025</v>
      </c>
      <c r="J172" t="str">
        <f>TEXT(calls[[#This Row],[Date of Call]],"DDDD")</f>
        <v>Tuesday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45720</v>
      </c>
      <c r="G173">
        <v>128</v>
      </c>
      <c r="H173">
        <v>5</v>
      </c>
      <c r="I173">
        <f>IF(MONTH(calls[[#This Row],[Date of Call]])&lt;=6, YEAR(calls[[#This Row],[Date of Call]]), YEAR(calls[[#This Row],[Date of Call]])+1)</f>
        <v>2025</v>
      </c>
      <c r="J173" t="str">
        <f>TEXT(calls[[#This Row],[Date of Call]],"DDDD")</f>
        <v>Tuesday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45720</v>
      </c>
      <c r="G174">
        <v>40</v>
      </c>
      <c r="H174">
        <v>3.4</v>
      </c>
      <c r="I174">
        <f>IF(MONTH(calls[[#This Row],[Date of Call]])&lt;=6, YEAR(calls[[#This Row],[Date of Call]]), YEAR(calls[[#This Row],[Date of Call]])+1)</f>
        <v>2025</v>
      </c>
      <c r="J174" t="str">
        <f>TEXT(calls[[#This Row],[Date of Call]],"DDDD")</f>
        <v>Tuesday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45721</v>
      </c>
      <c r="G175">
        <v>92</v>
      </c>
      <c r="H175">
        <v>4.7</v>
      </c>
      <c r="I175">
        <f>IF(MONTH(calls[[#This Row],[Date of Call]])&lt;=6, YEAR(calls[[#This Row],[Date of Call]]), YEAR(calls[[#This Row],[Date of Call]])+1)</f>
        <v>2025</v>
      </c>
      <c r="J175" t="str">
        <f>TEXT(calls[[#This Row],[Date of Call]],"DDDD")</f>
        <v>Wednesday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45721</v>
      </c>
      <c r="G176">
        <v>27</v>
      </c>
      <c r="H176">
        <v>4.5</v>
      </c>
      <c r="I176">
        <f>IF(MONTH(calls[[#This Row],[Date of Call]])&lt;=6, YEAR(calls[[#This Row],[Date of Call]]), YEAR(calls[[#This Row],[Date of Call]])+1)</f>
        <v>2025</v>
      </c>
      <c r="J176" t="str">
        <f>TEXT(calls[[#This Row],[Date of Call]],"DDDD")</f>
        <v>Wednesday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45721</v>
      </c>
      <c r="G177">
        <v>140</v>
      </c>
      <c r="H177">
        <v>4.0999999999999996</v>
      </c>
      <c r="I177">
        <f>IF(MONTH(calls[[#This Row],[Date of Call]])&lt;=6, YEAR(calls[[#This Row],[Date of Call]]), YEAR(calls[[#This Row],[Date of Call]])+1)</f>
        <v>2025</v>
      </c>
      <c r="J177" t="str">
        <f>TEXT(calls[[#This Row],[Date of Call]],"DDDD")</f>
        <v>Wednesday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45721</v>
      </c>
      <c r="G178">
        <v>40</v>
      </c>
      <c r="H178">
        <v>5</v>
      </c>
      <c r="I178">
        <f>IF(MONTH(calls[[#This Row],[Date of Call]])&lt;=6, YEAR(calls[[#This Row],[Date of Call]]), YEAR(calls[[#This Row],[Date of Call]])+1)</f>
        <v>2025</v>
      </c>
      <c r="J178" t="str">
        <f>TEXT(calls[[#This Row],[Date of Call]],"DDDD")</f>
        <v>Wednesday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45721</v>
      </c>
      <c r="G179">
        <v>102</v>
      </c>
      <c r="H179">
        <v>4.7</v>
      </c>
      <c r="I179">
        <f>IF(MONTH(calls[[#This Row],[Date of Call]])&lt;=6, YEAR(calls[[#This Row],[Date of Call]]), YEAR(calls[[#This Row],[Date of Call]])+1)</f>
        <v>2025</v>
      </c>
      <c r="J179" t="str">
        <f>TEXT(calls[[#This Row],[Date of Call]],"DDDD")</f>
        <v>Wednesday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45721</v>
      </c>
      <c r="G180">
        <v>42</v>
      </c>
      <c r="H180">
        <v>4.2</v>
      </c>
      <c r="I180">
        <f>IF(MONTH(calls[[#This Row],[Date of Call]])&lt;=6, YEAR(calls[[#This Row],[Date of Call]]), YEAR(calls[[#This Row],[Date of Call]])+1)</f>
        <v>2025</v>
      </c>
      <c r="J180" t="str">
        <f>TEXT(calls[[#This Row],[Date of Call]],"DDDD")</f>
        <v>Wednesday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45722</v>
      </c>
      <c r="G181">
        <v>210</v>
      </c>
      <c r="H181">
        <v>3.9</v>
      </c>
      <c r="I181">
        <f>IF(MONTH(calls[[#This Row],[Date of Call]])&lt;=6, YEAR(calls[[#This Row],[Date of Call]]), YEAR(calls[[#This Row],[Date of Call]])+1)</f>
        <v>2025</v>
      </c>
      <c r="J181" t="str">
        <f>TEXT(calls[[#This Row],[Date of Call]],"DDDD")</f>
        <v>Thursday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45722</v>
      </c>
      <c r="G182">
        <v>34</v>
      </c>
      <c r="H182">
        <v>3</v>
      </c>
      <c r="I182">
        <f>IF(MONTH(calls[[#This Row],[Date of Call]])&lt;=6, YEAR(calls[[#This Row],[Date of Call]]), YEAR(calls[[#This Row],[Date of Call]])+1)</f>
        <v>2025</v>
      </c>
      <c r="J182" t="str">
        <f>TEXT(calls[[#This Row],[Date of Call]],"DDDD")</f>
        <v>Thursday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45722</v>
      </c>
      <c r="G183">
        <v>215</v>
      </c>
      <c r="H183">
        <v>3.6</v>
      </c>
      <c r="I183">
        <f>IF(MONTH(calls[[#This Row],[Date of Call]])&lt;=6, YEAR(calls[[#This Row],[Date of Call]]), YEAR(calls[[#This Row],[Date of Call]])+1)</f>
        <v>2025</v>
      </c>
      <c r="J183" t="str">
        <f>TEXT(calls[[#This Row],[Date of Call]],"DDDD")</f>
        <v>Thursday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45722</v>
      </c>
      <c r="G184">
        <v>32</v>
      </c>
      <c r="H184">
        <v>0.7</v>
      </c>
      <c r="I184">
        <f>IF(MONTH(calls[[#This Row],[Date of Call]])&lt;=6, YEAR(calls[[#This Row],[Date of Call]]), YEAR(calls[[#This Row],[Date of Call]])+1)</f>
        <v>2025</v>
      </c>
      <c r="J184" t="str">
        <f>TEXT(calls[[#This Row],[Date of Call]],"DDDD")</f>
        <v>Thursday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45723</v>
      </c>
      <c r="G185">
        <v>48</v>
      </c>
      <c r="H185">
        <v>4.7</v>
      </c>
      <c r="I185">
        <f>IF(MONTH(calls[[#This Row],[Date of Call]])&lt;=6, YEAR(calls[[#This Row],[Date of Call]]), YEAR(calls[[#This Row],[Date of Call]])+1)</f>
        <v>2025</v>
      </c>
      <c r="J185" t="str">
        <f>TEXT(calls[[#This Row],[Date of Call]],"DDDD")</f>
        <v>Friday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45723</v>
      </c>
      <c r="G186">
        <v>132</v>
      </c>
      <c r="H186">
        <v>4.5</v>
      </c>
      <c r="I186">
        <f>IF(MONTH(calls[[#This Row],[Date of Call]])&lt;=6, YEAR(calls[[#This Row],[Date of Call]]), YEAR(calls[[#This Row],[Date of Call]])+1)</f>
        <v>2025</v>
      </c>
      <c r="J186" t="str">
        <f>TEXT(calls[[#This Row],[Date of Call]],"DDDD")</f>
        <v>Friday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45723</v>
      </c>
      <c r="G187">
        <v>172</v>
      </c>
      <c r="H187">
        <v>4.3</v>
      </c>
      <c r="I187">
        <f>IF(MONTH(calls[[#This Row],[Date of Call]])&lt;=6, YEAR(calls[[#This Row],[Date of Call]]), YEAR(calls[[#This Row],[Date of Call]])+1)</f>
        <v>2025</v>
      </c>
      <c r="J187" t="str">
        <f>TEXT(calls[[#This Row],[Date of Call]],"DDDD")</f>
        <v>Friday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45723</v>
      </c>
      <c r="G188">
        <v>111</v>
      </c>
      <c r="H188">
        <v>3.4</v>
      </c>
      <c r="I188">
        <f>IF(MONTH(calls[[#This Row],[Date of Call]])&lt;=6, YEAR(calls[[#This Row],[Date of Call]]), YEAR(calls[[#This Row],[Date of Call]])+1)</f>
        <v>2025</v>
      </c>
      <c r="J188" t="str">
        <f>TEXT(calls[[#This Row],[Date of Call]],"DDDD")</f>
        <v>Friday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45723</v>
      </c>
      <c r="G189">
        <v>58</v>
      </c>
      <c r="H189">
        <v>3.6</v>
      </c>
      <c r="I189">
        <f>IF(MONTH(calls[[#This Row],[Date of Call]])&lt;=6, YEAR(calls[[#This Row],[Date of Call]]), YEAR(calls[[#This Row],[Date of Call]])+1)</f>
        <v>2025</v>
      </c>
      <c r="J189" t="str">
        <f>TEXT(calls[[#This Row],[Date of Call]],"DDDD")</f>
        <v>Friday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45723</v>
      </c>
      <c r="G190">
        <v>68</v>
      </c>
      <c r="H190">
        <v>4</v>
      </c>
      <c r="I190">
        <f>IF(MONTH(calls[[#This Row],[Date of Call]])&lt;=6, YEAR(calls[[#This Row],[Date of Call]]), YEAR(calls[[#This Row],[Date of Call]])+1)</f>
        <v>2025</v>
      </c>
      <c r="J190" t="str">
        <f>TEXT(calls[[#This Row],[Date of Call]],"DDDD")</f>
        <v>Friday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45723</v>
      </c>
      <c r="G191">
        <v>160</v>
      </c>
      <c r="H191">
        <v>4.5</v>
      </c>
      <c r="I191">
        <f>IF(MONTH(calls[[#This Row],[Date of Call]])&lt;=6, YEAR(calls[[#This Row],[Date of Call]]), YEAR(calls[[#This Row],[Date of Call]])+1)</f>
        <v>2025</v>
      </c>
      <c r="J191" t="str">
        <f>TEXT(calls[[#This Row],[Date of Call]],"DDDD")</f>
        <v>Friday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45723</v>
      </c>
      <c r="G192">
        <v>45</v>
      </c>
      <c r="H192">
        <v>3</v>
      </c>
      <c r="I192">
        <f>IF(MONTH(calls[[#This Row],[Date of Call]])&lt;=6, YEAR(calls[[#This Row],[Date of Call]]), YEAR(calls[[#This Row],[Date of Call]])+1)</f>
        <v>2025</v>
      </c>
      <c r="J192" t="str">
        <f>TEXT(calls[[#This Row],[Date of Call]],"DDDD")</f>
        <v>Friday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45724</v>
      </c>
      <c r="G193">
        <v>117</v>
      </c>
      <c r="H193">
        <v>3</v>
      </c>
      <c r="I193">
        <f>IF(MONTH(calls[[#This Row],[Date of Call]])&lt;=6, YEAR(calls[[#This Row],[Date of Call]]), YEAR(calls[[#This Row],[Date of Call]])+1)</f>
        <v>2025</v>
      </c>
      <c r="J193" t="str">
        <f>TEXT(calls[[#This Row],[Date of Call]],"DDDD")</f>
        <v>Saturday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45725</v>
      </c>
      <c r="G194">
        <v>22</v>
      </c>
      <c r="H194">
        <v>1.6</v>
      </c>
      <c r="I194">
        <f>IF(MONTH(calls[[#This Row],[Date of Call]])&lt;=6, YEAR(calls[[#This Row],[Date of Call]]), YEAR(calls[[#This Row],[Date of Call]])+1)</f>
        <v>2025</v>
      </c>
      <c r="J194" t="str">
        <f>TEXT(calls[[#This Row],[Date of Call]],"DDDD")</f>
        <v>Sunday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45725</v>
      </c>
      <c r="G195">
        <v>195</v>
      </c>
      <c r="H195">
        <v>3</v>
      </c>
      <c r="I195">
        <f>IF(MONTH(calls[[#This Row],[Date of Call]])&lt;=6, YEAR(calls[[#This Row],[Date of Call]]), YEAR(calls[[#This Row],[Date of Call]])+1)</f>
        <v>2025</v>
      </c>
      <c r="J195" t="str">
        <f>TEXT(calls[[#This Row],[Date of Call]],"DDDD")</f>
        <v>Sunday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45725</v>
      </c>
      <c r="G196">
        <v>168</v>
      </c>
      <c r="H196">
        <v>3.7</v>
      </c>
      <c r="I196">
        <f>IF(MONTH(calls[[#This Row],[Date of Call]])&lt;=6, YEAR(calls[[#This Row],[Date of Call]]), YEAR(calls[[#This Row],[Date of Call]])+1)</f>
        <v>2025</v>
      </c>
      <c r="J196" t="str">
        <f>TEXT(calls[[#This Row],[Date of Call]],"DDDD")</f>
        <v>Sunday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45726</v>
      </c>
      <c r="G197">
        <v>46</v>
      </c>
      <c r="H197">
        <v>4.9000000000000004</v>
      </c>
      <c r="I197">
        <f>IF(MONTH(calls[[#This Row],[Date of Call]])&lt;=6, YEAR(calls[[#This Row],[Date of Call]]), YEAR(calls[[#This Row],[Date of Call]])+1)</f>
        <v>2025</v>
      </c>
      <c r="J197" t="str">
        <f>TEXT(calls[[#This Row],[Date of Call]],"DDDD")</f>
        <v>Monday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45726</v>
      </c>
      <c r="G198">
        <v>164</v>
      </c>
      <c r="H198">
        <v>3.4</v>
      </c>
      <c r="I198">
        <f>IF(MONTH(calls[[#This Row],[Date of Call]])&lt;=6, YEAR(calls[[#This Row],[Date of Call]]), YEAR(calls[[#This Row],[Date of Call]])+1)</f>
        <v>2025</v>
      </c>
      <c r="J198" t="str">
        <f>TEXT(calls[[#This Row],[Date of Call]],"DDDD")</f>
        <v>Monday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45726</v>
      </c>
      <c r="G199">
        <v>48</v>
      </c>
      <c r="H199">
        <v>5</v>
      </c>
      <c r="I199">
        <f>IF(MONTH(calls[[#This Row],[Date of Call]])&lt;=6, YEAR(calls[[#This Row],[Date of Call]]), YEAR(calls[[#This Row],[Date of Call]])+1)</f>
        <v>2025</v>
      </c>
      <c r="J199" t="str">
        <f>TEXT(calls[[#This Row],[Date of Call]],"DDDD")</f>
        <v>Monday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45726</v>
      </c>
      <c r="G200">
        <v>96</v>
      </c>
      <c r="H200">
        <v>5</v>
      </c>
      <c r="I200">
        <f>IF(MONTH(calls[[#This Row],[Date of Call]])&lt;=6, YEAR(calls[[#This Row],[Date of Call]]), YEAR(calls[[#This Row],[Date of Call]])+1)</f>
        <v>2025</v>
      </c>
      <c r="J200" t="str">
        <f>TEXT(calls[[#This Row],[Date of Call]],"DDDD")</f>
        <v>Monday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45726</v>
      </c>
      <c r="G201">
        <v>105</v>
      </c>
      <c r="H201">
        <v>4</v>
      </c>
      <c r="I201">
        <f>IF(MONTH(calls[[#This Row],[Date of Call]])&lt;=6, YEAR(calls[[#This Row],[Date of Call]]), YEAR(calls[[#This Row],[Date of Call]])+1)</f>
        <v>2025</v>
      </c>
      <c r="J201" t="str">
        <f>TEXT(calls[[#This Row],[Date of Call]],"DDDD")</f>
        <v>Monday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45727</v>
      </c>
      <c r="G202">
        <v>44</v>
      </c>
      <c r="H202">
        <v>3.6</v>
      </c>
      <c r="I202">
        <f>IF(MONTH(calls[[#This Row],[Date of Call]])&lt;=6, YEAR(calls[[#This Row],[Date of Call]]), YEAR(calls[[#This Row],[Date of Call]])+1)</f>
        <v>2025</v>
      </c>
      <c r="J202" t="str">
        <f>TEXT(calls[[#This Row],[Date of Call]],"DDDD")</f>
        <v>Tuesday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45727</v>
      </c>
      <c r="G203">
        <v>132</v>
      </c>
      <c r="H203">
        <v>3.7</v>
      </c>
      <c r="I203">
        <f>IF(MONTH(calls[[#This Row],[Date of Call]])&lt;=6, YEAR(calls[[#This Row],[Date of Call]]), YEAR(calls[[#This Row],[Date of Call]])+1)</f>
        <v>2025</v>
      </c>
      <c r="J203" t="str">
        <f>TEXT(calls[[#This Row],[Date of Call]],"DDDD")</f>
        <v>Tuesday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45727</v>
      </c>
      <c r="G204">
        <v>54</v>
      </c>
      <c r="H204">
        <v>4.2</v>
      </c>
      <c r="I204">
        <f>IF(MONTH(calls[[#This Row],[Date of Call]])&lt;=6, YEAR(calls[[#This Row],[Date of Call]]), YEAR(calls[[#This Row],[Date of Call]])+1)</f>
        <v>2025</v>
      </c>
      <c r="J204" t="str">
        <f>TEXT(calls[[#This Row],[Date of Call]],"DDDD")</f>
        <v>Tuesday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45727</v>
      </c>
      <c r="G205">
        <v>129</v>
      </c>
      <c r="H205">
        <v>2.1</v>
      </c>
      <c r="I205">
        <f>IF(MONTH(calls[[#This Row],[Date of Call]])&lt;=6, YEAR(calls[[#This Row],[Date of Call]]), YEAR(calls[[#This Row],[Date of Call]])+1)</f>
        <v>2025</v>
      </c>
      <c r="J205" t="str">
        <f>TEXT(calls[[#This Row],[Date of Call]],"DDDD")</f>
        <v>Tuesday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45727</v>
      </c>
      <c r="G206">
        <v>42</v>
      </c>
      <c r="H206">
        <v>4</v>
      </c>
      <c r="I206">
        <f>IF(MONTH(calls[[#This Row],[Date of Call]])&lt;=6, YEAR(calls[[#This Row],[Date of Call]]), YEAR(calls[[#This Row],[Date of Call]])+1)</f>
        <v>2025</v>
      </c>
      <c r="J206" t="str">
        <f>TEXT(calls[[#This Row],[Date of Call]],"DDDD")</f>
        <v>Tuesday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45727</v>
      </c>
      <c r="G207">
        <v>42</v>
      </c>
      <c r="H207">
        <v>4.2</v>
      </c>
      <c r="I207">
        <f>IF(MONTH(calls[[#This Row],[Date of Call]])&lt;=6, YEAR(calls[[#This Row],[Date of Call]]), YEAR(calls[[#This Row],[Date of Call]])+1)</f>
        <v>2025</v>
      </c>
      <c r="J207" t="str">
        <f>TEXT(calls[[#This Row],[Date of Call]],"DDDD")</f>
        <v>Tuesday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45727</v>
      </c>
      <c r="G208">
        <v>180</v>
      </c>
      <c r="H208">
        <v>3.1</v>
      </c>
      <c r="I208">
        <f>IF(MONTH(calls[[#This Row],[Date of Call]])&lt;=6, YEAR(calls[[#This Row],[Date of Call]]), YEAR(calls[[#This Row],[Date of Call]])+1)</f>
        <v>2025</v>
      </c>
      <c r="J208" t="str">
        <f>TEXT(calls[[#This Row],[Date of Call]],"DDDD")</f>
        <v>Tuesday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45728</v>
      </c>
      <c r="G209">
        <v>34</v>
      </c>
      <c r="H209">
        <v>4.8</v>
      </c>
      <c r="I209">
        <f>IF(MONTH(calls[[#This Row],[Date of Call]])&lt;=6, YEAR(calls[[#This Row],[Date of Call]]), YEAR(calls[[#This Row],[Date of Call]])+1)</f>
        <v>2025</v>
      </c>
      <c r="J209" t="str">
        <f>TEXT(calls[[#This Row],[Date of Call]],"DDDD")</f>
        <v>Wednesday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45728</v>
      </c>
      <c r="G210">
        <v>29</v>
      </c>
      <c r="H210">
        <v>4.7</v>
      </c>
      <c r="I210">
        <f>IF(MONTH(calls[[#This Row],[Date of Call]])&lt;=6, YEAR(calls[[#This Row],[Date of Call]]), YEAR(calls[[#This Row],[Date of Call]])+1)</f>
        <v>2025</v>
      </c>
      <c r="J210" t="str">
        <f>TEXT(calls[[#This Row],[Date of Call]],"DDDD")</f>
        <v>Wednesday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45728</v>
      </c>
      <c r="G211">
        <v>165</v>
      </c>
      <c r="H211">
        <v>3.3</v>
      </c>
      <c r="I211">
        <f>IF(MONTH(calls[[#This Row],[Date of Call]])&lt;=6, YEAR(calls[[#This Row],[Date of Call]]), YEAR(calls[[#This Row],[Date of Call]])+1)</f>
        <v>2025</v>
      </c>
      <c r="J211" t="str">
        <f>TEXT(calls[[#This Row],[Date of Call]],"DDDD")</f>
        <v>Wednesday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45729</v>
      </c>
      <c r="G212">
        <v>32</v>
      </c>
      <c r="H212">
        <v>3.7</v>
      </c>
      <c r="I212">
        <f>IF(MONTH(calls[[#This Row],[Date of Call]])&lt;=6, YEAR(calls[[#This Row],[Date of Call]]), YEAR(calls[[#This Row],[Date of Call]])+1)</f>
        <v>2025</v>
      </c>
      <c r="J212" t="str">
        <f>TEXT(calls[[#This Row],[Date of Call]],"DDDD")</f>
        <v>Thursday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45729</v>
      </c>
      <c r="G213">
        <v>160</v>
      </c>
      <c r="H213">
        <v>4.9000000000000004</v>
      </c>
      <c r="I213">
        <f>IF(MONTH(calls[[#This Row],[Date of Call]])&lt;=6, YEAR(calls[[#This Row],[Date of Call]]), YEAR(calls[[#This Row],[Date of Call]])+1)</f>
        <v>2025</v>
      </c>
      <c r="J213" t="str">
        <f>TEXT(calls[[#This Row],[Date of Call]],"DDDD")</f>
        <v>Thursday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45729</v>
      </c>
      <c r="G214">
        <v>140</v>
      </c>
      <c r="H214">
        <v>3.5</v>
      </c>
      <c r="I214">
        <f>IF(MONTH(calls[[#This Row],[Date of Call]])&lt;=6, YEAR(calls[[#This Row],[Date of Call]]), YEAR(calls[[#This Row],[Date of Call]])+1)</f>
        <v>2025</v>
      </c>
      <c r="J214" t="str">
        <f>TEXT(calls[[#This Row],[Date of Call]],"DDDD")</f>
        <v>Thursday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45729</v>
      </c>
      <c r="G215">
        <v>136</v>
      </c>
      <c r="H215">
        <v>4.4000000000000004</v>
      </c>
      <c r="I215">
        <f>IF(MONTH(calls[[#This Row],[Date of Call]])&lt;=6, YEAR(calls[[#This Row],[Date of Call]]), YEAR(calls[[#This Row],[Date of Call]])+1)</f>
        <v>2025</v>
      </c>
      <c r="J215" t="str">
        <f>TEXT(calls[[#This Row],[Date of Call]],"DDDD")</f>
        <v>Thursday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45729</v>
      </c>
      <c r="G216">
        <v>66</v>
      </c>
      <c r="H216">
        <v>2.8</v>
      </c>
      <c r="I216">
        <f>IF(MONTH(calls[[#This Row],[Date of Call]])&lt;=6, YEAR(calls[[#This Row],[Date of Call]]), YEAR(calls[[#This Row],[Date of Call]])+1)</f>
        <v>2025</v>
      </c>
      <c r="J216" t="str">
        <f>TEXT(calls[[#This Row],[Date of Call]],"DDDD")</f>
        <v>Thursday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45730</v>
      </c>
      <c r="G217">
        <v>63</v>
      </c>
      <c r="H217">
        <v>4.0999999999999996</v>
      </c>
      <c r="I217">
        <f>IF(MONTH(calls[[#This Row],[Date of Call]])&lt;=6, YEAR(calls[[#This Row],[Date of Call]]), YEAR(calls[[#This Row],[Date of Call]])+1)</f>
        <v>2025</v>
      </c>
      <c r="J217" t="str">
        <f>TEXT(calls[[#This Row],[Date of Call]],"DDDD")</f>
        <v>Friday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45730</v>
      </c>
      <c r="G218">
        <v>44</v>
      </c>
      <c r="H218">
        <v>3.5</v>
      </c>
      <c r="I218">
        <f>IF(MONTH(calls[[#This Row],[Date of Call]])&lt;=6, YEAR(calls[[#This Row],[Date of Call]]), YEAR(calls[[#This Row],[Date of Call]])+1)</f>
        <v>2025</v>
      </c>
      <c r="J218" t="str">
        <f>TEXT(calls[[#This Row],[Date of Call]],"DDDD")</f>
        <v>Friday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45730</v>
      </c>
      <c r="G219">
        <v>78</v>
      </c>
      <c r="H219">
        <v>3.8</v>
      </c>
      <c r="I219">
        <f>IF(MONTH(calls[[#This Row],[Date of Call]])&lt;=6, YEAR(calls[[#This Row],[Date of Call]]), YEAR(calls[[#This Row],[Date of Call]])+1)</f>
        <v>2025</v>
      </c>
      <c r="J219" t="str">
        <f>TEXT(calls[[#This Row],[Date of Call]],"DDDD")</f>
        <v>Friday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45730</v>
      </c>
      <c r="G220">
        <v>20</v>
      </c>
      <c r="H220">
        <v>3.9</v>
      </c>
      <c r="I220">
        <f>IF(MONTH(calls[[#This Row],[Date of Call]])&lt;=6, YEAR(calls[[#This Row],[Date of Call]]), YEAR(calls[[#This Row],[Date of Call]])+1)</f>
        <v>2025</v>
      </c>
      <c r="J220" t="str">
        <f>TEXT(calls[[#This Row],[Date of Call]],"DDDD")</f>
        <v>Friday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45730</v>
      </c>
      <c r="G221">
        <v>84</v>
      </c>
      <c r="H221">
        <v>2.5</v>
      </c>
      <c r="I221">
        <f>IF(MONTH(calls[[#This Row],[Date of Call]])&lt;=6, YEAR(calls[[#This Row],[Date of Call]]), YEAR(calls[[#This Row],[Date of Call]])+1)</f>
        <v>2025</v>
      </c>
      <c r="J221" t="str">
        <f>TEXT(calls[[#This Row],[Date of Call]],"DDDD")</f>
        <v>Friday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45730</v>
      </c>
      <c r="G222">
        <v>32</v>
      </c>
      <c r="H222">
        <v>4.9000000000000004</v>
      </c>
      <c r="I222">
        <f>IF(MONTH(calls[[#This Row],[Date of Call]])&lt;=6, YEAR(calls[[#This Row],[Date of Call]]), YEAR(calls[[#This Row],[Date of Call]])+1)</f>
        <v>2025</v>
      </c>
      <c r="J222" t="str">
        <f>TEXT(calls[[#This Row],[Date of Call]],"DDDD")</f>
        <v>Friday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45730</v>
      </c>
      <c r="G223">
        <v>132</v>
      </c>
      <c r="H223">
        <v>3.4</v>
      </c>
      <c r="I223">
        <f>IF(MONTH(calls[[#This Row],[Date of Call]])&lt;=6, YEAR(calls[[#This Row],[Date of Call]]), YEAR(calls[[#This Row],[Date of Call]])+1)</f>
        <v>2025</v>
      </c>
      <c r="J223" t="str">
        <f>TEXT(calls[[#This Row],[Date of Call]],"DDDD")</f>
        <v>Friday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45730</v>
      </c>
      <c r="G224">
        <v>105</v>
      </c>
      <c r="H224">
        <v>3.3</v>
      </c>
      <c r="I224">
        <f>IF(MONTH(calls[[#This Row],[Date of Call]])&lt;=6, YEAR(calls[[#This Row],[Date of Call]]), YEAR(calls[[#This Row],[Date of Call]])+1)</f>
        <v>2025</v>
      </c>
      <c r="J224" t="str">
        <f>TEXT(calls[[#This Row],[Date of Call]],"DDDD")</f>
        <v>Friday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45731</v>
      </c>
      <c r="G225">
        <v>48</v>
      </c>
      <c r="H225">
        <v>4.7</v>
      </c>
      <c r="I225">
        <f>IF(MONTH(calls[[#This Row],[Date of Call]])&lt;=6, YEAR(calls[[#This Row],[Date of Call]]), YEAR(calls[[#This Row],[Date of Call]])+1)</f>
        <v>2025</v>
      </c>
      <c r="J225" t="str">
        <f>TEXT(calls[[#This Row],[Date of Call]],"DDDD")</f>
        <v>Saturday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45731</v>
      </c>
      <c r="G226">
        <v>64</v>
      </c>
      <c r="H226">
        <v>4</v>
      </c>
      <c r="I226">
        <f>IF(MONTH(calls[[#This Row],[Date of Call]])&lt;=6, YEAR(calls[[#This Row],[Date of Call]]), YEAR(calls[[#This Row],[Date of Call]])+1)</f>
        <v>2025</v>
      </c>
      <c r="J226" t="str">
        <f>TEXT(calls[[#This Row],[Date of Call]],"DDDD")</f>
        <v>Saturday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45731</v>
      </c>
      <c r="G227">
        <v>44</v>
      </c>
      <c r="H227">
        <v>3.8</v>
      </c>
      <c r="I227">
        <f>IF(MONTH(calls[[#This Row],[Date of Call]])&lt;=6, YEAR(calls[[#This Row],[Date of Call]]), YEAR(calls[[#This Row],[Date of Call]])+1)</f>
        <v>2025</v>
      </c>
      <c r="J227" t="str">
        <f>TEXT(calls[[#This Row],[Date of Call]],"DDDD")</f>
        <v>Saturday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45731</v>
      </c>
      <c r="G228">
        <v>120</v>
      </c>
      <c r="H228">
        <v>3.1</v>
      </c>
      <c r="I228">
        <f>IF(MONTH(calls[[#This Row],[Date of Call]])&lt;=6, YEAR(calls[[#This Row],[Date of Call]]), YEAR(calls[[#This Row],[Date of Call]])+1)</f>
        <v>2025</v>
      </c>
      <c r="J228" t="str">
        <f>TEXT(calls[[#This Row],[Date of Call]],"DDDD")</f>
        <v>Saturday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45731</v>
      </c>
      <c r="G229">
        <v>144</v>
      </c>
      <c r="H229">
        <v>4.8</v>
      </c>
      <c r="I229">
        <f>IF(MONTH(calls[[#This Row],[Date of Call]])&lt;=6, YEAR(calls[[#This Row],[Date of Call]]), YEAR(calls[[#This Row],[Date of Call]])+1)</f>
        <v>2025</v>
      </c>
      <c r="J229" t="str">
        <f>TEXT(calls[[#This Row],[Date of Call]],"DDDD")</f>
        <v>Saturday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45731</v>
      </c>
      <c r="G230">
        <v>87</v>
      </c>
      <c r="H230">
        <v>2.7</v>
      </c>
      <c r="I230">
        <f>IF(MONTH(calls[[#This Row],[Date of Call]])&lt;=6, YEAR(calls[[#This Row],[Date of Call]]), YEAR(calls[[#This Row],[Date of Call]])+1)</f>
        <v>2025</v>
      </c>
      <c r="J230" t="str">
        <f>TEXT(calls[[#This Row],[Date of Call]],"DDDD")</f>
        <v>Saturday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45731</v>
      </c>
      <c r="G231">
        <v>36</v>
      </c>
      <c r="H231">
        <v>3.6</v>
      </c>
      <c r="I231">
        <f>IF(MONTH(calls[[#This Row],[Date of Call]])&lt;=6, YEAR(calls[[#This Row],[Date of Call]]), YEAR(calls[[#This Row],[Date of Call]])+1)</f>
        <v>2025</v>
      </c>
      <c r="J231" t="str">
        <f>TEXT(calls[[#This Row],[Date of Call]],"DDDD")</f>
        <v>Saturday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45732</v>
      </c>
      <c r="G232">
        <v>72</v>
      </c>
      <c r="H232">
        <v>4.7</v>
      </c>
      <c r="I232">
        <f>IF(MONTH(calls[[#This Row],[Date of Call]])&lt;=6, YEAR(calls[[#This Row],[Date of Call]]), YEAR(calls[[#This Row],[Date of Call]])+1)</f>
        <v>2025</v>
      </c>
      <c r="J232" t="str">
        <f>TEXT(calls[[#This Row],[Date of Call]],"DDDD")</f>
        <v>Sunday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45732</v>
      </c>
      <c r="G233">
        <v>150</v>
      </c>
      <c r="H233">
        <v>4.4000000000000004</v>
      </c>
      <c r="I233">
        <f>IF(MONTH(calls[[#This Row],[Date of Call]])&lt;=6, YEAR(calls[[#This Row],[Date of Call]]), YEAR(calls[[#This Row],[Date of Call]])+1)</f>
        <v>2025</v>
      </c>
      <c r="J233" t="str">
        <f>TEXT(calls[[#This Row],[Date of Call]],"DDDD")</f>
        <v>Sunday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45732</v>
      </c>
      <c r="G234">
        <v>68</v>
      </c>
      <c r="H234">
        <v>4.3</v>
      </c>
      <c r="I234">
        <f>IF(MONTH(calls[[#This Row],[Date of Call]])&lt;=6, YEAR(calls[[#This Row],[Date of Call]]), YEAR(calls[[#This Row],[Date of Call]])+1)</f>
        <v>2025</v>
      </c>
      <c r="J234" t="str">
        <f>TEXT(calls[[#This Row],[Date of Call]],"DDDD")</f>
        <v>Sunday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45732</v>
      </c>
      <c r="G235">
        <v>99</v>
      </c>
      <c r="H235">
        <v>4.9000000000000004</v>
      </c>
      <c r="I235">
        <f>IF(MONTH(calls[[#This Row],[Date of Call]])&lt;=6, YEAR(calls[[#This Row],[Date of Call]]), YEAR(calls[[#This Row],[Date of Call]])+1)</f>
        <v>2025</v>
      </c>
      <c r="J235" t="str">
        <f>TEXT(calls[[#This Row],[Date of Call]],"DDDD")</f>
        <v>Sunday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45732</v>
      </c>
      <c r="G236">
        <v>26</v>
      </c>
      <c r="H236">
        <v>4.8</v>
      </c>
      <c r="I236">
        <f>IF(MONTH(calls[[#This Row],[Date of Call]])&lt;=6, YEAR(calls[[#This Row],[Date of Call]]), YEAR(calls[[#This Row],[Date of Call]])+1)</f>
        <v>2025</v>
      </c>
      <c r="J236" t="str">
        <f>TEXT(calls[[#This Row],[Date of Call]],"DDDD")</f>
        <v>Sunday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45732</v>
      </c>
      <c r="G237">
        <v>88</v>
      </c>
      <c r="H237">
        <v>3.2</v>
      </c>
      <c r="I237">
        <f>IF(MONTH(calls[[#This Row],[Date of Call]])&lt;=6, YEAR(calls[[#This Row],[Date of Call]]), YEAR(calls[[#This Row],[Date of Call]])+1)</f>
        <v>2025</v>
      </c>
      <c r="J237" t="str">
        <f>TEXT(calls[[#This Row],[Date of Call]],"DDDD")</f>
        <v>Sunday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45732</v>
      </c>
      <c r="G238">
        <v>124</v>
      </c>
      <c r="H238">
        <v>3.4</v>
      </c>
      <c r="I238">
        <f>IF(MONTH(calls[[#This Row],[Date of Call]])&lt;=6, YEAR(calls[[#This Row],[Date of Call]]), YEAR(calls[[#This Row],[Date of Call]])+1)</f>
        <v>2025</v>
      </c>
      <c r="J238" t="str">
        <f>TEXT(calls[[#This Row],[Date of Call]],"DDDD")</f>
        <v>Sunday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45732</v>
      </c>
      <c r="G239">
        <v>72</v>
      </c>
      <c r="H239">
        <v>3.5</v>
      </c>
      <c r="I239">
        <f>IF(MONTH(calls[[#This Row],[Date of Call]])&lt;=6, YEAR(calls[[#This Row],[Date of Call]]), YEAR(calls[[#This Row],[Date of Call]])+1)</f>
        <v>2025</v>
      </c>
      <c r="J239" t="str">
        <f>TEXT(calls[[#This Row],[Date of Call]],"DDDD")</f>
        <v>Sunday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45733</v>
      </c>
      <c r="G240">
        <v>125</v>
      </c>
      <c r="H240">
        <v>4.9000000000000004</v>
      </c>
      <c r="I240">
        <f>IF(MONTH(calls[[#This Row],[Date of Call]])&lt;=6, YEAR(calls[[#This Row],[Date of Call]]), YEAR(calls[[#This Row],[Date of Call]])+1)</f>
        <v>2025</v>
      </c>
      <c r="J240" t="str">
        <f>TEXT(calls[[#This Row],[Date of Call]],"DDDD")</f>
        <v>Monday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45733</v>
      </c>
      <c r="G241">
        <v>22</v>
      </c>
      <c r="H241">
        <v>4.0999999999999996</v>
      </c>
      <c r="I241">
        <f>IF(MONTH(calls[[#This Row],[Date of Call]])&lt;=6, YEAR(calls[[#This Row],[Date of Call]]), YEAR(calls[[#This Row],[Date of Call]])+1)</f>
        <v>2025</v>
      </c>
      <c r="J241" t="str">
        <f>TEXT(calls[[#This Row],[Date of Call]],"DDDD")</f>
        <v>Monday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45734</v>
      </c>
      <c r="G242">
        <v>70</v>
      </c>
      <c r="H242">
        <v>4.9000000000000004</v>
      </c>
      <c r="I242">
        <f>IF(MONTH(calls[[#This Row],[Date of Call]])&lt;=6, YEAR(calls[[#This Row],[Date of Call]]), YEAR(calls[[#This Row],[Date of Call]])+1)</f>
        <v>2025</v>
      </c>
      <c r="J242" t="str">
        <f>TEXT(calls[[#This Row],[Date of Call]],"DDDD")</f>
        <v>Tuesday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45734</v>
      </c>
      <c r="G243">
        <v>24</v>
      </c>
      <c r="H243">
        <v>4.3</v>
      </c>
      <c r="I243">
        <f>IF(MONTH(calls[[#This Row],[Date of Call]])&lt;=6, YEAR(calls[[#This Row],[Date of Call]]), YEAR(calls[[#This Row],[Date of Call]])+1)</f>
        <v>2025</v>
      </c>
      <c r="J243" t="str">
        <f>TEXT(calls[[#This Row],[Date of Call]],"DDDD")</f>
        <v>Tuesday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45734</v>
      </c>
      <c r="G244">
        <v>32</v>
      </c>
      <c r="H244">
        <v>4.0999999999999996</v>
      </c>
      <c r="I244">
        <f>IF(MONTH(calls[[#This Row],[Date of Call]])&lt;=6, YEAR(calls[[#This Row],[Date of Call]]), YEAR(calls[[#This Row],[Date of Call]])+1)</f>
        <v>2025</v>
      </c>
      <c r="J244" t="str">
        <f>TEXT(calls[[#This Row],[Date of Call]],"DDDD")</f>
        <v>Tuesday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45734</v>
      </c>
      <c r="G245">
        <v>112</v>
      </c>
      <c r="H245">
        <v>4.4000000000000004</v>
      </c>
      <c r="I245">
        <f>IF(MONTH(calls[[#This Row],[Date of Call]])&lt;=6, YEAR(calls[[#This Row],[Date of Call]]), YEAR(calls[[#This Row],[Date of Call]])+1)</f>
        <v>2025</v>
      </c>
      <c r="J245" t="str">
        <f>TEXT(calls[[#This Row],[Date of Call]],"DDDD")</f>
        <v>Tuesday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45735</v>
      </c>
      <c r="G246">
        <v>43</v>
      </c>
      <c r="H246">
        <v>4.5</v>
      </c>
      <c r="I246">
        <f>IF(MONTH(calls[[#This Row],[Date of Call]])&lt;=6, YEAR(calls[[#This Row],[Date of Call]]), YEAR(calls[[#This Row],[Date of Call]])+1)</f>
        <v>2025</v>
      </c>
      <c r="J246" t="str">
        <f>TEXT(calls[[#This Row],[Date of Call]],"DDDD")</f>
        <v>Wednesday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45735</v>
      </c>
      <c r="G247">
        <v>22</v>
      </c>
      <c r="H247">
        <v>3.5</v>
      </c>
      <c r="I247">
        <f>IF(MONTH(calls[[#This Row],[Date of Call]])&lt;=6, YEAR(calls[[#This Row],[Date of Call]]), YEAR(calls[[#This Row],[Date of Call]])+1)</f>
        <v>2025</v>
      </c>
      <c r="J247" t="str">
        <f>TEXT(calls[[#This Row],[Date of Call]],"DDDD")</f>
        <v>Wednesday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45735</v>
      </c>
      <c r="G248">
        <v>93</v>
      </c>
      <c r="H248">
        <v>4.4000000000000004</v>
      </c>
      <c r="I248">
        <f>IF(MONTH(calls[[#This Row],[Date of Call]])&lt;=6, YEAR(calls[[#This Row],[Date of Call]]), YEAR(calls[[#This Row],[Date of Call]])+1)</f>
        <v>2025</v>
      </c>
      <c r="J248" t="str">
        <f>TEXT(calls[[#This Row],[Date of Call]],"DDDD")</f>
        <v>Wednesday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45735</v>
      </c>
      <c r="G249">
        <v>45</v>
      </c>
      <c r="H249">
        <v>3.5</v>
      </c>
      <c r="I249">
        <f>IF(MONTH(calls[[#This Row],[Date of Call]])&lt;=6, YEAR(calls[[#This Row],[Date of Call]]), YEAR(calls[[#This Row],[Date of Call]])+1)</f>
        <v>2025</v>
      </c>
      <c r="J249" t="str">
        <f>TEXT(calls[[#This Row],[Date of Call]],"DDDD")</f>
        <v>Wednesday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45736</v>
      </c>
      <c r="G250">
        <v>96</v>
      </c>
      <c r="H250">
        <v>3.8</v>
      </c>
      <c r="I250">
        <f>IF(MONTH(calls[[#This Row],[Date of Call]])&lt;=6, YEAR(calls[[#This Row],[Date of Call]]), YEAR(calls[[#This Row],[Date of Call]])+1)</f>
        <v>2025</v>
      </c>
      <c r="J250" t="str">
        <f>TEXT(calls[[#This Row],[Date of Call]],"DDDD")</f>
        <v>Thursday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45736</v>
      </c>
      <c r="G251">
        <v>96</v>
      </c>
      <c r="H251">
        <v>3.3</v>
      </c>
      <c r="I251">
        <f>IF(MONTH(calls[[#This Row],[Date of Call]])&lt;=6, YEAR(calls[[#This Row],[Date of Call]]), YEAR(calls[[#This Row],[Date of Call]])+1)</f>
        <v>2025</v>
      </c>
      <c r="J251" t="str">
        <f>TEXT(calls[[#This Row],[Date of Call]],"DDDD")</f>
        <v>Thursday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45736</v>
      </c>
      <c r="G252">
        <v>31</v>
      </c>
      <c r="H252">
        <v>4.4000000000000004</v>
      </c>
      <c r="I252">
        <f>IF(MONTH(calls[[#This Row],[Date of Call]])&lt;=6, YEAR(calls[[#This Row],[Date of Call]]), YEAR(calls[[#This Row],[Date of Call]])+1)</f>
        <v>2025</v>
      </c>
      <c r="J252" t="str">
        <f>TEXT(calls[[#This Row],[Date of Call]],"DDDD")</f>
        <v>Thursday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45736</v>
      </c>
      <c r="G253">
        <v>200</v>
      </c>
      <c r="H253">
        <v>3.9</v>
      </c>
      <c r="I253">
        <f>IF(MONTH(calls[[#This Row],[Date of Call]])&lt;=6, YEAR(calls[[#This Row],[Date of Call]]), YEAR(calls[[#This Row],[Date of Call]])+1)</f>
        <v>2025</v>
      </c>
      <c r="J253" t="str">
        <f>TEXT(calls[[#This Row],[Date of Call]],"DDDD")</f>
        <v>Thursday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45736</v>
      </c>
      <c r="G254">
        <v>99</v>
      </c>
      <c r="H254">
        <v>2.7</v>
      </c>
      <c r="I254">
        <f>IF(MONTH(calls[[#This Row],[Date of Call]])&lt;=6, YEAR(calls[[#This Row],[Date of Call]]), YEAR(calls[[#This Row],[Date of Call]])+1)</f>
        <v>2025</v>
      </c>
      <c r="J254" t="str">
        <f>TEXT(calls[[#This Row],[Date of Call]],"DDDD")</f>
        <v>Thursday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45736</v>
      </c>
      <c r="G255">
        <v>144</v>
      </c>
      <c r="H255">
        <v>2.9</v>
      </c>
      <c r="I255">
        <f>IF(MONTH(calls[[#This Row],[Date of Call]])&lt;=6, YEAR(calls[[#This Row],[Date of Call]]), YEAR(calls[[#This Row],[Date of Call]])+1)</f>
        <v>2025</v>
      </c>
      <c r="J255" t="str">
        <f>TEXT(calls[[#This Row],[Date of Call]],"DDDD")</f>
        <v>Thursday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45737</v>
      </c>
      <c r="G256">
        <v>81</v>
      </c>
      <c r="H256">
        <v>4</v>
      </c>
      <c r="I256">
        <f>IF(MONTH(calls[[#This Row],[Date of Call]])&lt;=6, YEAR(calls[[#This Row],[Date of Call]]), YEAR(calls[[#This Row],[Date of Call]])+1)</f>
        <v>2025</v>
      </c>
      <c r="J256" t="str">
        <f>TEXT(calls[[#This Row],[Date of Call]],"DDDD")</f>
        <v>Friday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45737</v>
      </c>
      <c r="G257">
        <v>70</v>
      </c>
      <c r="H257">
        <v>4.4000000000000004</v>
      </c>
      <c r="I257">
        <f>IF(MONTH(calls[[#This Row],[Date of Call]])&lt;=6, YEAR(calls[[#This Row],[Date of Call]]), YEAR(calls[[#This Row],[Date of Call]])+1)</f>
        <v>2025</v>
      </c>
      <c r="J257" t="str">
        <f>TEXT(calls[[#This Row],[Date of Call]],"DDDD")</f>
        <v>Friday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45737</v>
      </c>
      <c r="G258">
        <v>148</v>
      </c>
      <c r="H258">
        <v>5</v>
      </c>
      <c r="I258">
        <f>IF(MONTH(calls[[#This Row],[Date of Call]])&lt;=6, YEAR(calls[[#This Row],[Date of Call]]), YEAR(calls[[#This Row],[Date of Call]])+1)</f>
        <v>2025</v>
      </c>
      <c r="J258" t="str">
        <f>TEXT(calls[[#This Row],[Date of Call]],"DDDD")</f>
        <v>Friday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45737</v>
      </c>
      <c r="G259">
        <v>215</v>
      </c>
      <c r="H259">
        <v>4.0999999999999996</v>
      </c>
      <c r="I259">
        <f>IF(MONTH(calls[[#This Row],[Date of Call]])&lt;=6, YEAR(calls[[#This Row],[Date of Call]]), YEAR(calls[[#This Row],[Date of Call]])+1)</f>
        <v>2025</v>
      </c>
      <c r="J259" t="str">
        <f>TEXT(calls[[#This Row],[Date of Call]],"DDDD")</f>
        <v>Friday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45737</v>
      </c>
      <c r="G260">
        <v>124</v>
      </c>
      <c r="H260">
        <v>4.4000000000000004</v>
      </c>
      <c r="I260">
        <f>IF(MONTH(calls[[#This Row],[Date of Call]])&lt;=6, YEAR(calls[[#This Row],[Date of Call]]), YEAR(calls[[#This Row],[Date of Call]])+1)</f>
        <v>2025</v>
      </c>
      <c r="J260" t="str">
        <f>TEXT(calls[[#This Row],[Date of Call]],"DDDD")</f>
        <v>Friday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45737</v>
      </c>
      <c r="G261">
        <v>168</v>
      </c>
      <c r="H261">
        <v>4.0999999999999996</v>
      </c>
      <c r="I261">
        <f>IF(MONTH(calls[[#This Row],[Date of Call]])&lt;=6, YEAR(calls[[#This Row],[Date of Call]]), YEAR(calls[[#This Row],[Date of Call]])+1)</f>
        <v>2025</v>
      </c>
      <c r="J261" t="str">
        <f>TEXT(calls[[#This Row],[Date of Call]],"DDDD")</f>
        <v>Friday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45737</v>
      </c>
      <c r="G262">
        <v>90</v>
      </c>
      <c r="H262">
        <v>4.5</v>
      </c>
      <c r="I262">
        <f>IF(MONTH(calls[[#This Row],[Date of Call]])&lt;=6, YEAR(calls[[#This Row],[Date of Call]]), YEAR(calls[[#This Row],[Date of Call]])+1)</f>
        <v>2025</v>
      </c>
      <c r="J262" t="str">
        <f>TEXT(calls[[#This Row],[Date of Call]],"DDDD")</f>
        <v>Friday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45738</v>
      </c>
      <c r="G263">
        <v>176</v>
      </c>
      <c r="H263">
        <v>4.2</v>
      </c>
      <c r="I263">
        <f>IF(MONTH(calls[[#This Row],[Date of Call]])&lt;=6, YEAR(calls[[#This Row],[Date of Call]]), YEAR(calls[[#This Row],[Date of Call]])+1)</f>
        <v>2025</v>
      </c>
      <c r="J263" t="str">
        <f>TEXT(calls[[#This Row],[Date of Call]],"DDDD")</f>
        <v>Saturday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45738</v>
      </c>
      <c r="G264">
        <v>87</v>
      </c>
      <c r="H264">
        <v>4.5999999999999996</v>
      </c>
      <c r="I264">
        <f>IF(MONTH(calls[[#This Row],[Date of Call]])&lt;=6, YEAR(calls[[#This Row],[Date of Call]]), YEAR(calls[[#This Row],[Date of Call]])+1)</f>
        <v>2025</v>
      </c>
      <c r="J264" t="str">
        <f>TEXT(calls[[#This Row],[Date of Call]],"DDDD")</f>
        <v>Saturday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45738</v>
      </c>
      <c r="G265">
        <v>128</v>
      </c>
      <c r="H265">
        <v>4.5</v>
      </c>
      <c r="I265">
        <f>IF(MONTH(calls[[#This Row],[Date of Call]])&lt;=6, YEAR(calls[[#This Row],[Date of Call]]), YEAR(calls[[#This Row],[Date of Call]])+1)</f>
        <v>2025</v>
      </c>
      <c r="J265" t="str">
        <f>TEXT(calls[[#This Row],[Date of Call]],"DDDD")</f>
        <v>Saturday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45738</v>
      </c>
      <c r="G266">
        <v>120</v>
      </c>
      <c r="H266">
        <v>4.0999999999999996</v>
      </c>
      <c r="I266">
        <f>IF(MONTH(calls[[#This Row],[Date of Call]])&lt;=6, YEAR(calls[[#This Row],[Date of Call]]), YEAR(calls[[#This Row],[Date of Call]])+1)</f>
        <v>2025</v>
      </c>
      <c r="J266" t="str">
        <f>TEXT(calls[[#This Row],[Date of Call]],"DDDD")</f>
        <v>Saturday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45738</v>
      </c>
      <c r="G267">
        <v>130</v>
      </c>
      <c r="H267">
        <v>4.8</v>
      </c>
      <c r="I267">
        <f>IF(MONTH(calls[[#This Row],[Date of Call]])&lt;=6, YEAR(calls[[#This Row],[Date of Call]]), YEAR(calls[[#This Row],[Date of Call]])+1)</f>
        <v>2025</v>
      </c>
      <c r="J267" t="str">
        <f>TEXT(calls[[#This Row],[Date of Call]],"DDDD")</f>
        <v>Saturday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45738</v>
      </c>
      <c r="G268">
        <v>172</v>
      </c>
      <c r="H268">
        <v>3.1</v>
      </c>
      <c r="I268">
        <f>IF(MONTH(calls[[#This Row],[Date of Call]])&lt;=6, YEAR(calls[[#This Row],[Date of Call]]), YEAR(calls[[#This Row],[Date of Call]])+1)</f>
        <v>2025</v>
      </c>
      <c r="J268" t="str">
        <f>TEXT(calls[[#This Row],[Date of Call]],"DDDD")</f>
        <v>Saturday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45738</v>
      </c>
      <c r="G269">
        <v>58</v>
      </c>
      <c r="H269">
        <v>4.9000000000000004</v>
      </c>
      <c r="I269">
        <f>IF(MONTH(calls[[#This Row],[Date of Call]])&lt;=6, YEAR(calls[[#This Row],[Date of Call]]), YEAR(calls[[#This Row],[Date of Call]])+1)</f>
        <v>2025</v>
      </c>
      <c r="J269" t="str">
        <f>TEXT(calls[[#This Row],[Date of Call]],"DDDD")</f>
        <v>Saturday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45741</v>
      </c>
      <c r="G270">
        <v>86</v>
      </c>
      <c r="H270">
        <v>4.0999999999999996</v>
      </c>
      <c r="I270">
        <f>IF(MONTH(calls[[#This Row],[Date of Call]])&lt;=6, YEAR(calls[[#This Row],[Date of Call]]), YEAR(calls[[#This Row],[Date of Call]])+1)</f>
        <v>2025</v>
      </c>
      <c r="J270" t="str">
        <f>TEXT(calls[[#This Row],[Date of Call]],"DDDD")</f>
        <v>Tuesday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45740</v>
      </c>
      <c r="G271">
        <v>31</v>
      </c>
      <c r="H271">
        <v>4.4000000000000004</v>
      </c>
      <c r="I271">
        <f>IF(MONTH(calls[[#This Row],[Date of Call]])&lt;=6, YEAR(calls[[#This Row],[Date of Call]]), YEAR(calls[[#This Row],[Date of Call]])+1)</f>
        <v>2025</v>
      </c>
      <c r="J271" t="str">
        <f>TEXT(calls[[#This Row],[Date of Call]],"DDDD")</f>
        <v>Monday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45740</v>
      </c>
      <c r="G272">
        <v>72</v>
      </c>
      <c r="H272">
        <v>4.4000000000000004</v>
      </c>
      <c r="I272">
        <f>IF(MONTH(calls[[#This Row],[Date of Call]])&lt;=6, YEAR(calls[[#This Row],[Date of Call]]), YEAR(calls[[#This Row],[Date of Call]])+1)</f>
        <v>2025</v>
      </c>
      <c r="J272" t="str">
        <f>TEXT(calls[[#This Row],[Date of Call]],"DDDD")</f>
        <v>Monday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45741</v>
      </c>
      <c r="G273">
        <v>27</v>
      </c>
      <c r="H273">
        <v>3</v>
      </c>
      <c r="I273">
        <f>IF(MONTH(calls[[#This Row],[Date of Call]])&lt;=6, YEAR(calls[[#This Row],[Date of Call]]), YEAR(calls[[#This Row],[Date of Call]])+1)</f>
        <v>2025</v>
      </c>
      <c r="J273" t="str">
        <f>TEXT(calls[[#This Row],[Date of Call]],"DDDD")</f>
        <v>Tuesday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45741</v>
      </c>
      <c r="G274">
        <v>110</v>
      </c>
      <c r="H274">
        <v>4.4000000000000004</v>
      </c>
      <c r="I274">
        <f>IF(MONTH(calls[[#This Row],[Date of Call]])&lt;=6, YEAR(calls[[#This Row],[Date of Call]]), YEAR(calls[[#This Row],[Date of Call]])+1)</f>
        <v>2025</v>
      </c>
      <c r="J274" t="str">
        <f>TEXT(calls[[#This Row],[Date of Call]],"DDDD")</f>
        <v>Tuesday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45741</v>
      </c>
      <c r="G275">
        <v>126</v>
      </c>
      <c r="H275">
        <v>3.7</v>
      </c>
      <c r="I275">
        <f>IF(MONTH(calls[[#This Row],[Date of Call]])&lt;=6, YEAR(calls[[#This Row],[Date of Call]]), YEAR(calls[[#This Row],[Date of Call]])+1)</f>
        <v>2025</v>
      </c>
      <c r="J275" t="str">
        <f>TEXT(calls[[#This Row],[Date of Call]],"DDDD")</f>
        <v>Tuesday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45741</v>
      </c>
      <c r="G276">
        <v>60</v>
      </c>
      <c r="H276">
        <v>3.9</v>
      </c>
      <c r="I276">
        <f>IF(MONTH(calls[[#This Row],[Date of Call]])&lt;=6, YEAR(calls[[#This Row],[Date of Call]]), YEAR(calls[[#This Row],[Date of Call]])+1)</f>
        <v>2025</v>
      </c>
      <c r="J276" t="str">
        <f>TEXT(calls[[#This Row],[Date of Call]],"DDDD")</f>
        <v>Tuesday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45741</v>
      </c>
      <c r="G277">
        <v>35</v>
      </c>
      <c r="H277">
        <v>3.5</v>
      </c>
      <c r="I277">
        <f>IF(MONTH(calls[[#This Row],[Date of Call]])&lt;=6, YEAR(calls[[#This Row],[Date of Call]]), YEAR(calls[[#This Row],[Date of Call]])+1)</f>
        <v>2025</v>
      </c>
      <c r="J277" t="str">
        <f>TEXT(calls[[#This Row],[Date of Call]],"DDDD")</f>
        <v>Tuesday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45741</v>
      </c>
      <c r="G278">
        <v>81</v>
      </c>
      <c r="H278">
        <v>3.5</v>
      </c>
      <c r="I278">
        <f>IF(MONTH(calls[[#This Row],[Date of Call]])&lt;=6, YEAR(calls[[#This Row],[Date of Call]]), YEAR(calls[[#This Row],[Date of Call]])+1)</f>
        <v>2025</v>
      </c>
      <c r="J278" t="str">
        <f>TEXT(calls[[#This Row],[Date of Call]],"DDDD")</f>
        <v>Tuesday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45741</v>
      </c>
      <c r="G279">
        <v>116</v>
      </c>
      <c r="H279">
        <v>3.4</v>
      </c>
      <c r="I279">
        <f>IF(MONTH(calls[[#This Row],[Date of Call]])&lt;=6, YEAR(calls[[#This Row],[Date of Call]]), YEAR(calls[[#This Row],[Date of Call]])+1)</f>
        <v>2025</v>
      </c>
      <c r="J279" t="str">
        <f>TEXT(calls[[#This Row],[Date of Call]],"DDDD")</f>
        <v>Tuesday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45741</v>
      </c>
      <c r="G280">
        <v>60</v>
      </c>
      <c r="H280">
        <v>4.5</v>
      </c>
      <c r="I280">
        <f>IF(MONTH(calls[[#This Row],[Date of Call]])&lt;=6, YEAR(calls[[#This Row],[Date of Call]]), YEAR(calls[[#This Row],[Date of Call]])+1)</f>
        <v>2025</v>
      </c>
      <c r="J280" t="str">
        <f>TEXT(calls[[#This Row],[Date of Call]],"DDDD")</f>
        <v>Tuesday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45742</v>
      </c>
      <c r="G281">
        <v>130</v>
      </c>
      <c r="H281">
        <v>4.2</v>
      </c>
      <c r="I281">
        <f>IF(MONTH(calls[[#This Row],[Date of Call]])&lt;=6, YEAR(calls[[#This Row],[Date of Call]]), YEAR(calls[[#This Row],[Date of Call]])+1)</f>
        <v>2025</v>
      </c>
      <c r="J281" t="str">
        <f>TEXT(calls[[#This Row],[Date of Call]],"DDDD")</f>
        <v>Wednesday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45742</v>
      </c>
      <c r="G282">
        <v>99</v>
      </c>
      <c r="H282">
        <v>5</v>
      </c>
      <c r="I282">
        <f>IF(MONTH(calls[[#This Row],[Date of Call]])&lt;=6, YEAR(calls[[#This Row],[Date of Call]]), YEAR(calls[[#This Row],[Date of Call]])+1)</f>
        <v>2025</v>
      </c>
      <c r="J282" t="str">
        <f>TEXT(calls[[#This Row],[Date of Call]],"DDDD")</f>
        <v>Wednesday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45742</v>
      </c>
      <c r="G283">
        <v>135</v>
      </c>
      <c r="H283">
        <v>4.7</v>
      </c>
      <c r="I283">
        <f>IF(MONTH(calls[[#This Row],[Date of Call]])&lt;=6, YEAR(calls[[#This Row],[Date of Call]]), YEAR(calls[[#This Row],[Date of Call]])+1)</f>
        <v>2025</v>
      </c>
      <c r="J283" t="str">
        <f>TEXT(calls[[#This Row],[Date of Call]],"DDDD")</f>
        <v>Wednesday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45742</v>
      </c>
      <c r="G284">
        <v>42</v>
      </c>
      <c r="H284">
        <v>2.8</v>
      </c>
      <c r="I284">
        <f>IF(MONTH(calls[[#This Row],[Date of Call]])&lt;=6, YEAR(calls[[#This Row],[Date of Call]]), YEAR(calls[[#This Row],[Date of Call]])+1)</f>
        <v>2025</v>
      </c>
      <c r="J284" t="str">
        <f>TEXT(calls[[#This Row],[Date of Call]],"DDDD")</f>
        <v>Wednesday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45743</v>
      </c>
      <c r="G285">
        <v>63</v>
      </c>
      <c r="H285">
        <v>3.4</v>
      </c>
      <c r="I285">
        <f>IF(MONTH(calls[[#This Row],[Date of Call]])&lt;=6, YEAR(calls[[#This Row],[Date of Call]]), YEAR(calls[[#This Row],[Date of Call]])+1)</f>
        <v>2025</v>
      </c>
      <c r="J285" t="str">
        <f>TEXT(calls[[#This Row],[Date of Call]],"DDDD")</f>
        <v>Thursday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45743</v>
      </c>
      <c r="G286">
        <v>140</v>
      </c>
      <c r="H286">
        <v>1.8</v>
      </c>
      <c r="I286">
        <f>IF(MONTH(calls[[#This Row],[Date of Call]])&lt;=6, YEAR(calls[[#This Row],[Date of Call]]), YEAR(calls[[#This Row],[Date of Call]])+1)</f>
        <v>2025</v>
      </c>
      <c r="J286" t="str">
        <f>TEXT(calls[[#This Row],[Date of Call]],"DDDD")</f>
        <v>Thursday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45743</v>
      </c>
      <c r="G287">
        <v>128</v>
      </c>
      <c r="H287">
        <v>4.2</v>
      </c>
      <c r="I287">
        <f>IF(MONTH(calls[[#This Row],[Date of Call]])&lt;=6, YEAR(calls[[#This Row],[Date of Call]]), YEAR(calls[[#This Row],[Date of Call]])+1)</f>
        <v>2025</v>
      </c>
      <c r="J287" t="str">
        <f>TEXT(calls[[#This Row],[Date of Call]],"DDDD")</f>
        <v>Thursday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45743</v>
      </c>
      <c r="G288">
        <v>80</v>
      </c>
      <c r="H288">
        <v>4.4000000000000004</v>
      </c>
      <c r="I288">
        <f>IF(MONTH(calls[[#This Row],[Date of Call]])&lt;=6, YEAR(calls[[#This Row],[Date of Call]]), YEAR(calls[[#This Row],[Date of Call]])+1)</f>
        <v>2025</v>
      </c>
      <c r="J288" t="str">
        <f>TEXT(calls[[#This Row],[Date of Call]],"DDDD")</f>
        <v>Thursday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45743</v>
      </c>
      <c r="G289">
        <v>28</v>
      </c>
      <c r="H289">
        <v>2.7</v>
      </c>
      <c r="I289">
        <f>IF(MONTH(calls[[#This Row],[Date of Call]])&lt;=6, YEAR(calls[[#This Row],[Date of Call]]), YEAR(calls[[#This Row],[Date of Call]])+1)</f>
        <v>2025</v>
      </c>
      <c r="J289" t="str">
        <f>TEXT(calls[[#This Row],[Date of Call]],"DDDD")</f>
        <v>Thursday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45744</v>
      </c>
      <c r="G290">
        <v>81</v>
      </c>
      <c r="H290">
        <v>5</v>
      </c>
      <c r="I290">
        <f>IF(MONTH(calls[[#This Row],[Date of Call]])&lt;=6, YEAR(calls[[#This Row],[Date of Call]]), YEAR(calls[[#This Row],[Date of Call]])+1)</f>
        <v>2025</v>
      </c>
      <c r="J290" t="str">
        <f>TEXT(calls[[#This Row],[Date of Call]],"DDDD")</f>
        <v>Friday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45744</v>
      </c>
      <c r="G291">
        <v>99</v>
      </c>
      <c r="H291">
        <v>3.9</v>
      </c>
      <c r="I291">
        <f>IF(MONTH(calls[[#This Row],[Date of Call]])&lt;=6, YEAR(calls[[#This Row],[Date of Call]]), YEAR(calls[[#This Row],[Date of Call]])+1)</f>
        <v>2025</v>
      </c>
      <c r="J291" t="str">
        <f>TEXT(calls[[#This Row],[Date of Call]],"DDDD")</f>
        <v>Friday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45744</v>
      </c>
      <c r="G292">
        <v>43</v>
      </c>
      <c r="H292">
        <v>3.8</v>
      </c>
      <c r="I292">
        <f>IF(MONTH(calls[[#This Row],[Date of Call]])&lt;=6, YEAR(calls[[#This Row],[Date of Call]]), YEAR(calls[[#This Row],[Date of Call]])+1)</f>
        <v>2025</v>
      </c>
      <c r="J292" t="str">
        <f>TEXT(calls[[#This Row],[Date of Call]],"DDDD")</f>
        <v>Friday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45744</v>
      </c>
      <c r="G293">
        <v>34</v>
      </c>
      <c r="H293">
        <v>4.5999999999999996</v>
      </c>
      <c r="I293">
        <f>IF(MONTH(calls[[#This Row],[Date of Call]])&lt;=6, YEAR(calls[[#This Row],[Date of Call]]), YEAR(calls[[#This Row],[Date of Call]])+1)</f>
        <v>2025</v>
      </c>
      <c r="J293" t="str">
        <f>TEXT(calls[[#This Row],[Date of Call]],"DDDD")</f>
        <v>Friday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45744</v>
      </c>
      <c r="G294">
        <v>225</v>
      </c>
      <c r="H294">
        <v>4.5999999999999996</v>
      </c>
      <c r="I294">
        <f>IF(MONTH(calls[[#This Row],[Date of Call]])&lt;=6, YEAR(calls[[#This Row],[Date of Call]]), YEAR(calls[[#This Row],[Date of Call]])+1)</f>
        <v>2025</v>
      </c>
      <c r="J294" t="str">
        <f>TEXT(calls[[#This Row],[Date of Call]],"DDDD")</f>
        <v>Friday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45744</v>
      </c>
      <c r="G295">
        <v>210</v>
      </c>
      <c r="H295">
        <v>4.5</v>
      </c>
      <c r="I295">
        <f>IF(MONTH(calls[[#This Row],[Date of Call]])&lt;=6, YEAR(calls[[#This Row],[Date of Call]]), YEAR(calls[[#This Row],[Date of Call]])+1)</f>
        <v>2025</v>
      </c>
      <c r="J295" t="str">
        <f>TEXT(calls[[#This Row],[Date of Call]],"DDDD")</f>
        <v>Friday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45744</v>
      </c>
      <c r="G296">
        <v>168</v>
      </c>
      <c r="H296">
        <v>4.2</v>
      </c>
      <c r="I296">
        <f>IF(MONTH(calls[[#This Row],[Date of Call]])&lt;=6, YEAR(calls[[#This Row],[Date of Call]]), YEAR(calls[[#This Row],[Date of Call]])+1)</f>
        <v>2025</v>
      </c>
      <c r="J296" t="str">
        <f>TEXT(calls[[#This Row],[Date of Call]],"DDDD")</f>
        <v>Friday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45745</v>
      </c>
      <c r="G297">
        <v>82</v>
      </c>
      <c r="H297">
        <v>4.5</v>
      </c>
      <c r="I297">
        <f>IF(MONTH(calls[[#This Row],[Date of Call]])&lt;=6, YEAR(calls[[#This Row],[Date of Call]]), YEAR(calls[[#This Row],[Date of Call]])+1)</f>
        <v>2025</v>
      </c>
      <c r="J297" t="str">
        <f>TEXT(calls[[#This Row],[Date of Call]],"DDDD")</f>
        <v>Saturday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45745</v>
      </c>
      <c r="G298">
        <v>88</v>
      </c>
      <c r="H298">
        <v>4.0999999999999996</v>
      </c>
      <c r="I298">
        <f>IF(MONTH(calls[[#This Row],[Date of Call]])&lt;=6, YEAR(calls[[#This Row],[Date of Call]]), YEAR(calls[[#This Row],[Date of Call]])+1)</f>
        <v>2025</v>
      </c>
      <c r="J298" t="str">
        <f>TEXT(calls[[#This Row],[Date of Call]],"DDDD")</f>
        <v>Saturday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45745</v>
      </c>
      <c r="G299">
        <v>111</v>
      </c>
      <c r="H299">
        <v>3.3</v>
      </c>
      <c r="I299">
        <f>IF(MONTH(calls[[#This Row],[Date of Call]])&lt;=6, YEAR(calls[[#This Row],[Date of Call]]), YEAR(calls[[#This Row],[Date of Call]])+1)</f>
        <v>2025</v>
      </c>
      <c r="J299" t="str">
        <f>TEXT(calls[[#This Row],[Date of Call]],"DDDD")</f>
        <v>Saturday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45745</v>
      </c>
      <c r="G300">
        <v>60</v>
      </c>
      <c r="H300">
        <v>3.8</v>
      </c>
      <c r="I300">
        <f>IF(MONTH(calls[[#This Row],[Date of Call]])&lt;=6, YEAR(calls[[#This Row],[Date of Call]]), YEAR(calls[[#This Row],[Date of Call]])+1)</f>
        <v>2025</v>
      </c>
      <c r="J300" t="str">
        <f>TEXT(calls[[#This Row],[Date of Call]],"DDDD")</f>
        <v>Saturday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45745</v>
      </c>
      <c r="G301">
        <v>80</v>
      </c>
      <c r="H301">
        <v>3</v>
      </c>
      <c r="I301">
        <f>IF(MONTH(calls[[#This Row],[Date of Call]])&lt;=6, YEAR(calls[[#This Row],[Date of Call]]), YEAR(calls[[#This Row],[Date of Call]])+1)</f>
        <v>2025</v>
      </c>
      <c r="J301" t="str">
        <f>TEXT(calls[[#This Row],[Date of Call]],"DDDD")</f>
        <v>Saturday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45747</v>
      </c>
      <c r="G302">
        <v>90</v>
      </c>
      <c r="H302">
        <v>4.5999999999999996</v>
      </c>
      <c r="I302">
        <f>IF(MONTH(calls[[#This Row],[Date of Call]])&lt;=6, YEAR(calls[[#This Row],[Date of Call]]), YEAR(calls[[#This Row],[Date of Call]])+1)</f>
        <v>2025</v>
      </c>
      <c r="J302" t="str">
        <f>TEXT(calls[[#This Row],[Date of Call]],"DDDD")</f>
        <v>Monday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45747</v>
      </c>
      <c r="G303">
        <v>225</v>
      </c>
      <c r="H303">
        <v>2.9</v>
      </c>
      <c r="I303">
        <f>IF(MONTH(calls[[#This Row],[Date of Call]])&lt;=6, YEAR(calls[[#This Row],[Date of Call]]), YEAR(calls[[#This Row],[Date of Call]])+1)</f>
        <v>2025</v>
      </c>
      <c r="J303" t="str">
        <f>TEXT(calls[[#This Row],[Date of Call]],"DDDD")</f>
        <v>Monday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45748</v>
      </c>
      <c r="G304">
        <v>215</v>
      </c>
      <c r="H304">
        <v>3.2</v>
      </c>
      <c r="I304">
        <f>IF(MONTH(calls[[#This Row],[Date of Call]])&lt;=6, YEAR(calls[[#This Row],[Date of Call]]), YEAR(calls[[#This Row],[Date of Call]])+1)</f>
        <v>2025</v>
      </c>
      <c r="J304" t="str">
        <f>TEXT(calls[[#This Row],[Date of Call]],"DDDD")</f>
        <v>Tuesday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45748</v>
      </c>
      <c r="G305">
        <v>45</v>
      </c>
      <c r="H305">
        <v>1.5</v>
      </c>
      <c r="I305">
        <f>IF(MONTH(calls[[#This Row],[Date of Call]])&lt;=6, YEAR(calls[[#This Row],[Date of Call]]), YEAR(calls[[#This Row],[Date of Call]])+1)</f>
        <v>2025</v>
      </c>
      <c r="J305" t="str">
        <f>TEXT(calls[[#This Row],[Date of Call]],"DDDD")</f>
        <v>Tuesday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45748</v>
      </c>
      <c r="G306">
        <v>74</v>
      </c>
      <c r="H306">
        <v>4</v>
      </c>
      <c r="I306">
        <f>IF(MONTH(calls[[#This Row],[Date of Call]])&lt;=6, YEAR(calls[[#This Row],[Date of Call]]), YEAR(calls[[#This Row],[Date of Call]])+1)</f>
        <v>2025</v>
      </c>
      <c r="J306" t="str">
        <f>TEXT(calls[[#This Row],[Date of Call]],"DDDD")</f>
        <v>Tuesday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45748</v>
      </c>
      <c r="G307">
        <v>60</v>
      </c>
      <c r="H307">
        <v>3.6</v>
      </c>
      <c r="I307">
        <f>IF(MONTH(calls[[#This Row],[Date of Call]])&lt;=6, YEAR(calls[[#This Row],[Date of Call]]), YEAR(calls[[#This Row],[Date of Call]])+1)</f>
        <v>2025</v>
      </c>
      <c r="J307" t="str">
        <f>TEXT(calls[[#This Row],[Date of Call]],"DDDD")</f>
        <v>Tuesday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45748</v>
      </c>
      <c r="G308">
        <v>64</v>
      </c>
      <c r="H308">
        <v>3.7</v>
      </c>
      <c r="I308">
        <f>IF(MONTH(calls[[#This Row],[Date of Call]])&lt;=6, YEAR(calls[[#This Row],[Date of Call]]), YEAR(calls[[#This Row],[Date of Call]])+1)</f>
        <v>2025</v>
      </c>
      <c r="J308" t="str">
        <f>TEXT(calls[[#This Row],[Date of Call]],"DDDD")</f>
        <v>Tuesday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45749</v>
      </c>
      <c r="G309">
        <v>110</v>
      </c>
      <c r="H309">
        <v>4.8</v>
      </c>
      <c r="I309">
        <f>IF(MONTH(calls[[#This Row],[Date of Call]])&lt;=6, YEAR(calls[[#This Row],[Date of Call]]), YEAR(calls[[#This Row],[Date of Call]])+1)</f>
        <v>2025</v>
      </c>
      <c r="J309" t="str">
        <f>TEXT(calls[[#This Row],[Date of Call]],"DDDD")</f>
        <v>Wednesday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45749</v>
      </c>
      <c r="G310">
        <v>52</v>
      </c>
      <c r="H310">
        <v>1.2</v>
      </c>
      <c r="I310">
        <f>IF(MONTH(calls[[#This Row],[Date of Call]])&lt;=6, YEAR(calls[[#This Row],[Date of Call]]), YEAR(calls[[#This Row],[Date of Call]])+1)</f>
        <v>2025</v>
      </c>
      <c r="J310" t="str">
        <f>TEXT(calls[[#This Row],[Date of Call]],"DDDD")</f>
        <v>Wednesday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45750</v>
      </c>
      <c r="G311">
        <v>160</v>
      </c>
      <c r="H311">
        <v>4.7</v>
      </c>
      <c r="I311">
        <f>IF(MONTH(calls[[#This Row],[Date of Call]])&lt;=6, YEAR(calls[[#This Row],[Date of Call]]), YEAR(calls[[#This Row],[Date of Call]])+1)</f>
        <v>2025</v>
      </c>
      <c r="J311" t="str">
        <f>TEXT(calls[[#This Row],[Date of Call]],"DDDD")</f>
        <v>Thursday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45750</v>
      </c>
      <c r="G312">
        <v>215</v>
      </c>
      <c r="H312">
        <v>4.7</v>
      </c>
      <c r="I312">
        <f>IF(MONTH(calls[[#This Row],[Date of Call]])&lt;=6, YEAR(calls[[#This Row],[Date of Call]]), YEAR(calls[[#This Row],[Date of Call]])+1)</f>
        <v>2025</v>
      </c>
      <c r="J312" t="str">
        <f>TEXT(calls[[#This Row],[Date of Call]],"DDDD")</f>
        <v>Thursday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45750</v>
      </c>
      <c r="G313">
        <v>220</v>
      </c>
      <c r="H313">
        <v>4.5</v>
      </c>
      <c r="I313">
        <f>IF(MONTH(calls[[#This Row],[Date of Call]])&lt;=6, YEAR(calls[[#This Row],[Date of Call]]), YEAR(calls[[#This Row],[Date of Call]])+1)</f>
        <v>2025</v>
      </c>
      <c r="J313" t="str">
        <f>TEXT(calls[[#This Row],[Date of Call]],"DDDD")</f>
        <v>Thursday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45751</v>
      </c>
      <c r="G314">
        <v>175</v>
      </c>
      <c r="H314">
        <v>3.5</v>
      </c>
      <c r="I314">
        <f>IF(MONTH(calls[[#This Row],[Date of Call]])&lt;=6, YEAR(calls[[#This Row],[Date of Call]]), YEAR(calls[[#This Row],[Date of Call]])+1)</f>
        <v>2025</v>
      </c>
      <c r="J314" t="str">
        <f>TEXT(calls[[#This Row],[Date of Call]],"DDDD")</f>
        <v>Friday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45751</v>
      </c>
      <c r="G315">
        <v>145</v>
      </c>
      <c r="H315">
        <v>4.0999999999999996</v>
      </c>
      <c r="I315">
        <f>IF(MONTH(calls[[#This Row],[Date of Call]])&lt;=6, YEAR(calls[[#This Row],[Date of Call]]), YEAR(calls[[#This Row],[Date of Call]])+1)</f>
        <v>2025</v>
      </c>
      <c r="J315" t="str">
        <f>TEXT(calls[[#This Row],[Date of Call]],"DDDD")</f>
        <v>Friday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45751</v>
      </c>
      <c r="G316">
        <v>72</v>
      </c>
      <c r="H316">
        <v>4.4000000000000004</v>
      </c>
      <c r="I316">
        <f>IF(MONTH(calls[[#This Row],[Date of Call]])&lt;=6, YEAR(calls[[#This Row],[Date of Call]]), YEAR(calls[[#This Row],[Date of Call]])+1)</f>
        <v>2025</v>
      </c>
      <c r="J316" t="str">
        <f>TEXT(calls[[#This Row],[Date of Call]],"DDDD")</f>
        <v>Friday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45752</v>
      </c>
      <c r="G317">
        <v>81</v>
      </c>
      <c r="H317">
        <v>3.6</v>
      </c>
      <c r="I317">
        <f>IF(MONTH(calls[[#This Row],[Date of Call]])&lt;=6, YEAR(calls[[#This Row],[Date of Call]]), YEAR(calls[[#This Row],[Date of Call]])+1)</f>
        <v>2025</v>
      </c>
      <c r="J317" t="str">
        <f>TEXT(calls[[#This Row],[Date of Call]],"DDDD")</f>
        <v>Saturday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45752</v>
      </c>
      <c r="G318">
        <v>54</v>
      </c>
      <c r="H318">
        <v>4.0999999999999996</v>
      </c>
      <c r="I318">
        <f>IF(MONTH(calls[[#This Row],[Date of Call]])&lt;=6, YEAR(calls[[#This Row],[Date of Call]]), YEAR(calls[[#This Row],[Date of Call]])+1)</f>
        <v>2025</v>
      </c>
      <c r="J318" t="str">
        <f>TEXT(calls[[#This Row],[Date of Call]],"DDDD")</f>
        <v>Saturday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45752</v>
      </c>
      <c r="G319">
        <v>105</v>
      </c>
      <c r="H319">
        <v>4.8</v>
      </c>
      <c r="I319">
        <f>IF(MONTH(calls[[#This Row],[Date of Call]])&lt;=6, YEAR(calls[[#This Row],[Date of Call]]), YEAR(calls[[#This Row],[Date of Call]])+1)</f>
        <v>2025</v>
      </c>
      <c r="J319" t="str">
        <f>TEXT(calls[[#This Row],[Date of Call]],"DDDD")</f>
        <v>Saturday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45753</v>
      </c>
      <c r="G320">
        <v>176</v>
      </c>
      <c r="H320">
        <v>3.9</v>
      </c>
      <c r="I320">
        <f>IF(MONTH(calls[[#This Row],[Date of Call]])&lt;=6, YEAR(calls[[#This Row],[Date of Call]]), YEAR(calls[[#This Row],[Date of Call]])+1)</f>
        <v>2025</v>
      </c>
      <c r="J320" t="str">
        <f>TEXT(calls[[#This Row],[Date of Call]],"DDDD")</f>
        <v>Sunday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45753</v>
      </c>
      <c r="G321">
        <v>115</v>
      </c>
      <c r="H321">
        <v>3.8</v>
      </c>
      <c r="I321">
        <f>IF(MONTH(calls[[#This Row],[Date of Call]])&lt;=6, YEAR(calls[[#This Row],[Date of Call]]), YEAR(calls[[#This Row],[Date of Call]])+1)</f>
        <v>2025</v>
      </c>
      <c r="J321" t="str">
        <f>TEXT(calls[[#This Row],[Date of Call]],"DDDD")</f>
        <v>Sunday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45753</v>
      </c>
      <c r="G322">
        <v>116</v>
      </c>
      <c r="H322">
        <v>3.9</v>
      </c>
      <c r="I322">
        <f>IF(MONTH(calls[[#This Row],[Date of Call]])&lt;=6, YEAR(calls[[#This Row],[Date of Call]]), YEAR(calls[[#This Row],[Date of Call]])+1)</f>
        <v>2025</v>
      </c>
      <c r="J322" t="str">
        <f>TEXT(calls[[#This Row],[Date of Call]],"DDDD")</f>
        <v>Sunday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45753</v>
      </c>
      <c r="G323">
        <v>100</v>
      </c>
      <c r="H323">
        <v>4.0999999999999996</v>
      </c>
      <c r="I323">
        <f>IF(MONTH(calls[[#This Row],[Date of Call]])&lt;=6, YEAR(calls[[#This Row],[Date of Call]]), YEAR(calls[[#This Row],[Date of Call]])+1)</f>
        <v>2025</v>
      </c>
      <c r="J323" t="str">
        <f>TEXT(calls[[#This Row],[Date of Call]],"DDDD")</f>
        <v>Sunday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45754</v>
      </c>
      <c r="G324">
        <v>36</v>
      </c>
      <c r="H324">
        <v>2.2000000000000002</v>
      </c>
      <c r="I324">
        <f>IF(MONTH(calls[[#This Row],[Date of Call]])&lt;=6, YEAR(calls[[#This Row],[Date of Call]]), YEAR(calls[[#This Row],[Date of Call]])+1)</f>
        <v>2025</v>
      </c>
      <c r="J324" t="str">
        <f>TEXT(calls[[#This Row],[Date of Call]],"DDDD")</f>
        <v>Monday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45754</v>
      </c>
      <c r="G325">
        <v>114</v>
      </c>
      <c r="H325">
        <v>5</v>
      </c>
      <c r="I325">
        <f>IF(MONTH(calls[[#This Row],[Date of Call]])&lt;=6, YEAR(calls[[#This Row],[Date of Call]]), YEAR(calls[[#This Row],[Date of Call]])+1)</f>
        <v>2025</v>
      </c>
      <c r="J325" t="str">
        <f>TEXT(calls[[#This Row],[Date of Call]],"DDDD")</f>
        <v>Monday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45754</v>
      </c>
      <c r="G326">
        <v>24</v>
      </c>
      <c r="H326">
        <v>3.8</v>
      </c>
      <c r="I326">
        <f>IF(MONTH(calls[[#This Row],[Date of Call]])&lt;=6, YEAR(calls[[#This Row],[Date of Call]]), YEAR(calls[[#This Row],[Date of Call]])+1)</f>
        <v>2025</v>
      </c>
      <c r="J326" t="str">
        <f>TEXT(calls[[#This Row],[Date of Call]],"DDDD")</f>
        <v>Monday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45754</v>
      </c>
      <c r="G327">
        <v>135</v>
      </c>
      <c r="H327">
        <v>4.5999999999999996</v>
      </c>
      <c r="I327">
        <f>IF(MONTH(calls[[#This Row],[Date of Call]])&lt;=6, YEAR(calls[[#This Row],[Date of Call]]), YEAR(calls[[#This Row],[Date of Call]])+1)</f>
        <v>2025</v>
      </c>
      <c r="J327" t="str">
        <f>TEXT(calls[[#This Row],[Date of Call]],"DDDD")</f>
        <v>Monday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45754</v>
      </c>
      <c r="G328">
        <v>30</v>
      </c>
      <c r="H328">
        <v>4</v>
      </c>
      <c r="I328">
        <f>IF(MONTH(calls[[#This Row],[Date of Call]])&lt;=6, YEAR(calls[[#This Row],[Date of Call]]), YEAR(calls[[#This Row],[Date of Call]])+1)</f>
        <v>2025</v>
      </c>
      <c r="J328" t="str">
        <f>TEXT(calls[[#This Row],[Date of Call]],"DDDD")</f>
        <v>Monday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45754</v>
      </c>
      <c r="G329">
        <v>84</v>
      </c>
      <c r="H329">
        <v>2.8</v>
      </c>
      <c r="I329">
        <f>IF(MONTH(calls[[#This Row],[Date of Call]])&lt;=6, YEAR(calls[[#This Row],[Date of Call]]), YEAR(calls[[#This Row],[Date of Call]])+1)</f>
        <v>2025</v>
      </c>
      <c r="J329" t="str">
        <f>TEXT(calls[[#This Row],[Date of Call]],"DDDD")</f>
        <v>Monday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45754</v>
      </c>
      <c r="G330">
        <v>42</v>
      </c>
      <c r="H330">
        <v>4.4000000000000004</v>
      </c>
      <c r="I330">
        <f>IF(MONTH(calls[[#This Row],[Date of Call]])&lt;=6, YEAR(calls[[#This Row],[Date of Call]]), YEAR(calls[[#This Row],[Date of Call]])+1)</f>
        <v>2025</v>
      </c>
      <c r="J330" t="str">
        <f>TEXT(calls[[#This Row],[Date of Call]],"DDDD")</f>
        <v>Monday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45754</v>
      </c>
      <c r="G331">
        <v>117</v>
      </c>
      <c r="H331">
        <v>2.4</v>
      </c>
      <c r="I331">
        <f>IF(MONTH(calls[[#This Row],[Date of Call]])&lt;=6, YEAR(calls[[#This Row],[Date of Call]]), YEAR(calls[[#This Row],[Date of Call]])+1)</f>
        <v>2025</v>
      </c>
      <c r="J331" t="str">
        <f>TEXT(calls[[#This Row],[Date of Call]],"DDDD")</f>
        <v>Monday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45754</v>
      </c>
      <c r="G332">
        <v>164</v>
      </c>
      <c r="H332">
        <v>4</v>
      </c>
      <c r="I332">
        <f>IF(MONTH(calls[[#This Row],[Date of Call]])&lt;=6, YEAR(calls[[#This Row],[Date of Call]]), YEAR(calls[[#This Row],[Date of Call]])+1)</f>
        <v>2025</v>
      </c>
      <c r="J332" t="str">
        <f>TEXT(calls[[#This Row],[Date of Call]],"DDDD")</f>
        <v>Monday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45755</v>
      </c>
      <c r="G333">
        <v>123</v>
      </c>
      <c r="H333">
        <v>4.4000000000000004</v>
      </c>
      <c r="I333">
        <f>IF(MONTH(calls[[#This Row],[Date of Call]])&lt;=6, YEAR(calls[[#This Row],[Date of Call]]), YEAR(calls[[#This Row],[Date of Call]])+1)</f>
        <v>2025</v>
      </c>
      <c r="J333" t="str">
        <f>TEXT(calls[[#This Row],[Date of Call]],"DDDD")</f>
        <v>Tuesday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45755</v>
      </c>
      <c r="G334">
        <v>172</v>
      </c>
      <c r="H334">
        <v>2.9</v>
      </c>
      <c r="I334">
        <f>IF(MONTH(calls[[#This Row],[Date of Call]])&lt;=6, YEAR(calls[[#This Row],[Date of Call]]), YEAR(calls[[#This Row],[Date of Call]])+1)</f>
        <v>2025</v>
      </c>
      <c r="J334" t="str">
        <f>TEXT(calls[[#This Row],[Date of Call]],"DDDD")</f>
        <v>Tuesday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45755</v>
      </c>
      <c r="G335">
        <v>20</v>
      </c>
      <c r="H335">
        <v>4.8</v>
      </c>
      <c r="I335">
        <f>IF(MONTH(calls[[#This Row],[Date of Call]])&lt;=6, YEAR(calls[[#This Row],[Date of Call]]), YEAR(calls[[#This Row],[Date of Call]])+1)</f>
        <v>2025</v>
      </c>
      <c r="J335" t="str">
        <f>TEXT(calls[[#This Row],[Date of Call]],"DDDD")</f>
        <v>Tuesday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45755</v>
      </c>
      <c r="G336">
        <v>72</v>
      </c>
      <c r="H336">
        <v>3.7</v>
      </c>
      <c r="I336">
        <f>IF(MONTH(calls[[#This Row],[Date of Call]])&lt;=6, YEAR(calls[[#This Row],[Date of Call]]), YEAR(calls[[#This Row],[Date of Call]])+1)</f>
        <v>2025</v>
      </c>
      <c r="J336" t="str">
        <f>TEXT(calls[[#This Row],[Date of Call]],"DDDD")</f>
        <v>Tuesday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45755</v>
      </c>
      <c r="G337">
        <v>32</v>
      </c>
      <c r="H337">
        <v>4.8</v>
      </c>
      <c r="I337">
        <f>IF(MONTH(calls[[#This Row],[Date of Call]])&lt;=6, YEAR(calls[[#This Row],[Date of Call]]), YEAR(calls[[#This Row],[Date of Call]])+1)</f>
        <v>2025</v>
      </c>
      <c r="J337" t="str">
        <f>TEXT(calls[[#This Row],[Date of Call]],"DDDD")</f>
        <v>Tuesday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45755</v>
      </c>
      <c r="G338">
        <v>140</v>
      </c>
      <c r="H338">
        <v>3.2</v>
      </c>
      <c r="I338">
        <f>IF(MONTH(calls[[#This Row],[Date of Call]])&lt;=6, YEAR(calls[[#This Row],[Date of Call]]), YEAR(calls[[#This Row],[Date of Call]])+1)</f>
        <v>2025</v>
      </c>
      <c r="J338" t="str">
        <f>TEXT(calls[[#This Row],[Date of Call]],"DDDD")</f>
        <v>Tuesday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45756</v>
      </c>
      <c r="G339">
        <v>120</v>
      </c>
      <c r="H339">
        <v>4.9000000000000004</v>
      </c>
      <c r="I339">
        <f>IF(MONTH(calls[[#This Row],[Date of Call]])&lt;=6, YEAR(calls[[#This Row],[Date of Call]]), YEAR(calls[[#This Row],[Date of Call]])+1)</f>
        <v>2025</v>
      </c>
      <c r="J339" t="str">
        <f>TEXT(calls[[#This Row],[Date of Call]],"DDDD")</f>
        <v>Wednesday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45756</v>
      </c>
      <c r="G340">
        <v>86</v>
      </c>
      <c r="H340">
        <v>2.2000000000000002</v>
      </c>
      <c r="I340">
        <f>IF(MONTH(calls[[#This Row],[Date of Call]])&lt;=6, YEAR(calls[[#This Row],[Date of Call]]), YEAR(calls[[#This Row],[Date of Call]])+1)</f>
        <v>2025</v>
      </c>
      <c r="J340" t="str">
        <f>TEXT(calls[[#This Row],[Date of Call]],"DDDD")</f>
        <v>Wednesday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45756</v>
      </c>
      <c r="G341">
        <v>132</v>
      </c>
      <c r="H341">
        <v>5</v>
      </c>
      <c r="I341">
        <f>IF(MONTH(calls[[#This Row],[Date of Call]])&lt;=6, YEAR(calls[[#This Row],[Date of Call]]), YEAR(calls[[#This Row],[Date of Call]])+1)</f>
        <v>2025</v>
      </c>
      <c r="J341" t="str">
        <f>TEXT(calls[[#This Row],[Date of Call]],"DDDD")</f>
        <v>Wednesday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45756</v>
      </c>
      <c r="G342">
        <v>80</v>
      </c>
      <c r="H342">
        <v>3.3</v>
      </c>
      <c r="I342">
        <f>IF(MONTH(calls[[#This Row],[Date of Call]])&lt;=6, YEAR(calls[[#This Row],[Date of Call]]), YEAR(calls[[#This Row],[Date of Call]])+1)</f>
        <v>2025</v>
      </c>
      <c r="J342" t="str">
        <f>TEXT(calls[[#This Row],[Date of Call]],"DDDD")</f>
        <v>Wednesday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45756</v>
      </c>
      <c r="G343">
        <v>132</v>
      </c>
      <c r="H343">
        <v>3.7</v>
      </c>
      <c r="I343">
        <f>IF(MONTH(calls[[#This Row],[Date of Call]])&lt;=6, YEAR(calls[[#This Row],[Date of Call]]), YEAR(calls[[#This Row],[Date of Call]])+1)</f>
        <v>2025</v>
      </c>
      <c r="J343" t="str">
        <f>TEXT(calls[[#This Row],[Date of Call]],"DDDD")</f>
        <v>Wednesday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45756</v>
      </c>
      <c r="G344">
        <v>27</v>
      </c>
      <c r="H344">
        <v>3.7</v>
      </c>
      <c r="I344">
        <f>IF(MONTH(calls[[#This Row],[Date of Call]])&lt;=6, YEAR(calls[[#This Row],[Date of Call]]), YEAR(calls[[#This Row],[Date of Call]])+1)</f>
        <v>2025</v>
      </c>
      <c r="J344" t="str">
        <f>TEXT(calls[[#This Row],[Date of Call]],"DDDD")</f>
        <v>Wednesday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45757</v>
      </c>
      <c r="G345">
        <v>68</v>
      </c>
      <c r="H345">
        <v>3.6</v>
      </c>
      <c r="I345">
        <f>IF(MONTH(calls[[#This Row],[Date of Call]])&lt;=6, YEAR(calls[[#This Row],[Date of Call]]), YEAR(calls[[#This Row],[Date of Call]])+1)</f>
        <v>2025</v>
      </c>
      <c r="J345" t="str">
        <f>TEXT(calls[[#This Row],[Date of Call]],"DDDD")</f>
        <v>Thursday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45757</v>
      </c>
      <c r="G346">
        <v>22</v>
      </c>
      <c r="H346">
        <v>4.7</v>
      </c>
      <c r="I346">
        <f>IF(MONTH(calls[[#This Row],[Date of Call]])&lt;=6, YEAR(calls[[#This Row],[Date of Call]]), YEAR(calls[[#This Row],[Date of Call]])+1)</f>
        <v>2025</v>
      </c>
      <c r="J346" t="str">
        <f>TEXT(calls[[#This Row],[Date of Call]],"DDDD")</f>
        <v>Thursday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45757</v>
      </c>
      <c r="G347">
        <v>42</v>
      </c>
      <c r="H347">
        <v>3.1</v>
      </c>
      <c r="I347">
        <f>IF(MONTH(calls[[#This Row],[Date of Call]])&lt;=6, YEAR(calls[[#This Row],[Date of Call]]), YEAR(calls[[#This Row],[Date of Call]])+1)</f>
        <v>2025</v>
      </c>
      <c r="J347" t="str">
        <f>TEXT(calls[[#This Row],[Date of Call]],"DDDD")</f>
        <v>Thursday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45758</v>
      </c>
      <c r="G348">
        <v>38</v>
      </c>
      <c r="H348">
        <v>3.3</v>
      </c>
      <c r="I348">
        <f>IF(MONTH(calls[[#This Row],[Date of Call]])&lt;=6, YEAR(calls[[#This Row],[Date of Call]]), YEAR(calls[[#This Row],[Date of Call]])+1)</f>
        <v>2025</v>
      </c>
      <c r="J348" t="str">
        <f>TEXT(calls[[#This Row],[Date of Call]],"DDDD")</f>
        <v>Friday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45758</v>
      </c>
      <c r="G349">
        <v>42</v>
      </c>
      <c r="H349">
        <v>4.5</v>
      </c>
      <c r="I349">
        <f>IF(MONTH(calls[[#This Row],[Date of Call]])&lt;=6, YEAR(calls[[#This Row],[Date of Call]]), YEAR(calls[[#This Row],[Date of Call]])+1)</f>
        <v>2025</v>
      </c>
      <c r="J349" t="str">
        <f>TEXT(calls[[#This Row],[Date of Call]],"DDDD")</f>
        <v>Friday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45758</v>
      </c>
      <c r="G350">
        <v>75</v>
      </c>
      <c r="H350">
        <v>3.9</v>
      </c>
      <c r="I350">
        <f>IF(MONTH(calls[[#This Row],[Date of Call]])&lt;=6, YEAR(calls[[#This Row],[Date of Call]]), YEAR(calls[[#This Row],[Date of Call]])+1)</f>
        <v>2025</v>
      </c>
      <c r="J350" t="str">
        <f>TEXT(calls[[#This Row],[Date of Call]],"DDDD")</f>
        <v>Friday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45759</v>
      </c>
      <c r="G351">
        <v>23</v>
      </c>
      <c r="H351">
        <v>4.9000000000000004</v>
      </c>
      <c r="I351">
        <f>IF(MONTH(calls[[#This Row],[Date of Call]])&lt;=6, YEAR(calls[[#This Row],[Date of Call]]), YEAR(calls[[#This Row],[Date of Call]])+1)</f>
        <v>2025</v>
      </c>
      <c r="J351" t="str">
        <f>TEXT(calls[[#This Row],[Date of Call]],"DDDD")</f>
        <v>Saturday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45759</v>
      </c>
      <c r="G352">
        <v>200</v>
      </c>
      <c r="H352">
        <v>4.8</v>
      </c>
      <c r="I352">
        <f>IF(MONTH(calls[[#This Row],[Date of Call]])&lt;=6, YEAR(calls[[#This Row],[Date of Call]]), YEAR(calls[[#This Row],[Date of Call]])+1)</f>
        <v>2025</v>
      </c>
      <c r="J352" t="str">
        <f>TEXT(calls[[#This Row],[Date of Call]],"DDDD")</f>
        <v>Saturday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45760</v>
      </c>
      <c r="G353">
        <v>45</v>
      </c>
      <c r="H353">
        <v>3.6</v>
      </c>
      <c r="I353">
        <f>IF(MONTH(calls[[#This Row],[Date of Call]])&lt;=6, YEAR(calls[[#This Row],[Date of Call]]), YEAR(calls[[#This Row],[Date of Call]])+1)</f>
        <v>2025</v>
      </c>
      <c r="J353" t="str">
        <f>TEXT(calls[[#This Row],[Date of Call]],"DDDD")</f>
        <v>Sunday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45760</v>
      </c>
      <c r="G354">
        <v>105</v>
      </c>
      <c r="H354">
        <v>3.5</v>
      </c>
      <c r="I354">
        <f>IF(MONTH(calls[[#This Row],[Date of Call]])&lt;=6, YEAR(calls[[#This Row],[Date of Call]]), YEAR(calls[[#This Row],[Date of Call]])+1)</f>
        <v>2025</v>
      </c>
      <c r="J354" t="str">
        <f>TEXT(calls[[#This Row],[Date of Call]],"DDDD")</f>
        <v>Sunday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45760</v>
      </c>
      <c r="G355">
        <v>22</v>
      </c>
      <c r="H355">
        <v>3.8</v>
      </c>
      <c r="I355">
        <f>IF(MONTH(calls[[#This Row],[Date of Call]])&lt;=6, YEAR(calls[[#This Row],[Date of Call]]), YEAR(calls[[#This Row],[Date of Call]])+1)</f>
        <v>2025</v>
      </c>
      <c r="J355" t="str">
        <f>TEXT(calls[[#This Row],[Date of Call]],"DDDD")</f>
        <v>Sunday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45761</v>
      </c>
      <c r="G356">
        <v>126</v>
      </c>
      <c r="H356">
        <v>4.4000000000000004</v>
      </c>
      <c r="I356">
        <f>IF(MONTH(calls[[#This Row],[Date of Call]])&lt;=6, YEAR(calls[[#This Row],[Date of Call]]), YEAR(calls[[#This Row],[Date of Call]])+1)</f>
        <v>2025</v>
      </c>
      <c r="J356" t="str">
        <f>TEXT(calls[[#This Row],[Date of Call]],"DDDD")</f>
        <v>Monday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45761</v>
      </c>
      <c r="G357">
        <v>35</v>
      </c>
      <c r="H357">
        <v>3</v>
      </c>
      <c r="I357">
        <f>IF(MONTH(calls[[#This Row],[Date of Call]])&lt;=6, YEAR(calls[[#This Row],[Date of Call]]), YEAR(calls[[#This Row],[Date of Call]])+1)</f>
        <v>2025</v>
      </c>
      <c r="J357" t="str">
        <f>TEXT(calls[[#This Row],[Date of Call]],"DDDD")</f>
        <v>Monday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45761</v>
      </c>
      <c r="G358">
        <v>84</v>
      </c>
      <c r="H358">
        <v>4.5</v>
      </c>
      <c r="I358">
        <f>IF(MONTH(calls[[#This Row],[Date of Call]])&lt;=6, YEAR(calls[[#This Row],[Date of Call]]), YEAR(calls[[#This Row],[Date of Call]])+1)</f>
        <v>2025</v>
      </c>
      <c r="J358" t="str">
        <f>TEXT(calls[[#This Row],[Date of Call]],"DDDD")</f>
        <v>Monday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45762</v>
      </c>
      <c r="G359">
        <v>172</v>
      </c>
      <c r="H359">
        <v>4.5</v>
      </c>
      <c r="I359">
        <f>IF(MONTH(calls[[#This Row],[Date of Call]])&lt;=6, YEAR(calls[[#This Row],[Date of Call]]), YEAR(calls[[#This Row],[Date of Call]])+1)</f>
        <v>2025</v>
      </c>
      <c r="J359" t="str">
        <f>TEXT(calls[[#This Row],[Date of Call]],"DDDD")</f>
        <v>Tuesday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45762</v>
      </c>
      <c r="G360">
        <v>114</v>
      </c>
      <c r="H360">
        <v>4</v>
      </c>
      <c r="I360">
        <f>IF(MONTH(calls[[#This Row],[Date of Call]])&lt;=6, YEAR(calls[[#This Row],[Date of Call]]), YEAR(calls[[#This Row],[Date of Call]])+1)</f>
        <v>2025</v>
      </c>
      <c r="J360" t="str">
        <f>TEXT(calls[[#This Row],[Date of Call]],"DDDD")</f>
        <v>Tuesday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45762</v>
      </c>
      <c r="G361">
        <v>60</v>
      </c>
      <c r="H361">
        <v>3.8</v>
      </c>
      <c r="I361">
        <f>IF(MONTH(calls[[#This Row],[Date of Call]])&lt;=6, YEAR(calls[[#This Row],[Date of Call]]), YEAR(calls[[#This Row],[Date of Call]])+1)</f>
        <v>2025</v>
      </c>
      <c r="J361" t="str">
        <f>TEXT(calls[[#This Row],[Date of Call]],"DDDD")</f>
        <v>Tuesday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45762</v>
      </c>
      <c r="G362">
        <v>26</v>
      </c>
      <c r="H362">
        <v>3.3</v>
      </c>
      <c r="I362">
        <f>IF(MONTH(calls[[#This Row],[Date of Call]])&lt;=6, YEAR(calls[[#This Row],[Date of Call]]), YEAR(calls[[#This Row],[Date of Call]])+1)</f>
        <v>2025</v>
      </c>
      <c r="J362" t="str">
        <f>TEXT(calls[[#This Row],[Date of Call]],"DDDD")</f>
        <v>Tuesday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45762</v>
      </c>
      <c r="G363">
        <v>210</v>
      </c>
      <c r="H363">
        <v>4.3</v>
      </c>
      <c r="I363">
        <f>IF(MONTH(calls[[#This Row],[Date of Call]])&lt;=6, YEAR(calls[[#This Row],[Date of Call]]), YEAR(calls[[#This Row],[Date of Call]])+1)</f>
        <v>2025</v>
      </c>
      <c r="J363" t="str">
        <f>TEXT(calls[[#This Row],[Date of Call]],"DDDD")</f>
        <v>Tuesday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45762</v>
      </c>
      <c r="G364">
        <v>129</v>
      </c>
      <c r="H364">
        <v>4.2</v>
      </c>
      <c r="I364">
        <f>IF(MONTH(calls[[#This Row],[Date of Call]])&lt;=6, YEAR(calls[[#This Row],[Date of Call]]), YEAR(calls[[#This Row],[Date of Call]])+1)</f>
        <v>2025</v>
      </c>
      <c r="J364" t="str">
        <f>TEXT(calls[[#This Row],[Date of Call]],"DDDD")</f>
        <v>Tuesday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45762</v>
      </c>
      <c r="G365">
        <v>215</v>
      </c>
      <c r="H365">
        <v>4.3</v>
      </c>
      <c r="I365">
        <f>IF(MONTH(calls[[#This Row],[Date of Call]])&lt;=6, YEAR(calls[[#This Row],[Date of Call]]), YEAR(calls[[#This Row],[Date of Call]])+1)</f>
        <v>2025</v>
      </c>
      <c r="J365" t="str">
        <f>TEXT(calls[[#This Row],[Date of Call]],"DDDD")</f>
        <v>Tuesday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45762</v>
      </c>
      <c r="G366">
        <v>69</v>
      </c>
      <c r="H366">
        <v>4.5999999999999996</v>
      </c>
      <c r="I366">
        <f>IF(MONTH(calls[[#This Row],[Date of Call]])&lt;=6, YEAR(calls[[#This Row],[Date of Call]]), YEAR(calls[[#This Row],[Date of Call]])+1)</f>
        <v>2025</v>
      </c>
      <c r="J366" t="str">
        <f>TEXT(calls[[#This Row],[Date of Call]],"DDDD")</f>
        <v>Tuesday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45762</v>
      </c>
      <c r="G367">
        <v>140</v>
      </c>
      <c r="H367">
        <v>3</v>
      </c>
      <c r="I367">
        <f>IF(MONTH(calls[[#This Row],[Date of Call]])&lt;=6, YEAR(calls[[#This Row],[Date of Call]]), YEAR(calls[[#This Row],[Date of Call]])+1)</f>
        <v>2025</v>
      </c>
      <c r="J367" t="str">
        <f>TEXT(calls[[#This Row],[Date of Call]],"DDDD")</f>
        <v>Tuesday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45763</v>
      </c>
      <c r="G368">
        <v>156</v>
      </c>
      <c r="H368">
        <v>2.7</v>
      </c>
      <c r="I368">
        <f>IF(MONTH(calls[[#This Row],[Date of Call]])&lt;=6, YEAR(calls[[#This Row],[Date of Call]]), YEAR(calls[[#This Row],[Date of Call]])+1)</f>
        <v>2025</v>
      </c>
      <c r="J368" t="str">
        <f>TEXT(calls[[#This Row],[Date of Call]],"DDDD")</f>
        <v>Wednesday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45763</v>
      </c>
      <c r="G369">
        <v>164</v>
      </c>
      <c r="H369">
        <v>3.1</v>
      </c>
      <c r="I369">
        <f>IF(MONTH(calls[[#This Row],[Date of Call]])&lt;=6, YEAR(calls[[#This Row],[Date of Call]]), YEAR(calls[[#This Row],[Date of Call]])+1)</f>
        <v>2025</v>
      </c>
      <c r="J369" t="str">
        <f>TEXT(calls[[#This Row],[Date of Call]],"DDDD")</f>
        <v>Wednesday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45763</v>
      </c>
      <c r="G370">
        <v>195</v>
      </c>
      <c r="H370">
        <v>2.6</v>
      </c>
      <c r="I370">
        <f>IF(MONTH(calls[[#This Row],[Date of Call]])&lt;=6, YEAR(calls[[#This Row],[Date of Call]]), YEAR(calls[[#This Row],[Date of Call]])+1)</f>
        <v>2025</v>
      </c>
      <c r="J370" t="str">
        <f>TEXT(calls[[#This Row],[Date of Call]],"DDDD")</f>
        <v>Wednesday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45763</v>
      </c>
      <c r="G371">
        <v>74</v>
      </c>
      <c r="H371">
        <v>4.5999999999999996</v>
      </c>
      <c r="I371">
        <f>IF(MONTH(calls[[#This Row],[Date of Call]])&lt;=6, YEAR(calls[[#This Row],[Date of Call]]), YEAR(calls[[#This Row],[Date of Call]])+1)</f>
        <v>2025</v>
      </c>
      <c r="J371" t="str">
        <f>TEXT(calls[[#This Row],[Date of Call]],"DDDD")</f>
        <v>Wednesday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45763</v>
      </c>
      <c r="G372">
        <v>100</v>
      </c>
      <c r="H372">
        <v>4</v>
      </c>
      <c r="I372">
        <f>IF(MONTH(calls[[#This Row],[Date of Call]])&lt;=6, YEAR(calls[[#This Row],[Date of Call]]), YEAR(calls[[#This Row],[Date of Call]])+1)</f>
        <v>2025</v>
      </c>
      <c r="J372" t="str">
        <f>TEXT(calls[[#This Row],[Date of Call]],"DDDD")</f>
        <v>Wednesday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45763</v>
      </c>
      <c r="G373">
        <v>185</v>
      </c>
      <c r="H373">
        <v>4.5</v>
      </c>
      <c r="I373">
        <f>IF(MONTH(calls[[#This Row],[Date of Call]])&lt;=6, YEAR(calls[[#This Row],[Date of Call]]), YEAR(calls[[#This Row],[Date of Call]])+1)</f>
        <v>2025</v>
      </c>
      <c r="J373" t="str">
        <f>TEXT(calls[[#This Row],[Date of Call]],"DDDD")</f>
        <v>Wednesday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45763</v>
      </c>
      <c r="G374">
        <v>130</v>
      </c>
      <c r="H374">
        <v>1.9</v>
      </c>
      <c r="I374">
        <f>IF(MONTH(calls[[#This Row],[Date of Call]])&lt;=6, YEAR(calls[[#This Row],[Date of Call]]), YEAR(calls[[#This Row],[Date of Call]])+1)</f>
        <v>2025</v>
      </c>
      <c r="J374" t="str">
        <f>TEXT(calls[[#This Row],[Date of Call]],"DDDD")</f>
        <v>Wednesday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45764</v>
      </c>
      <c r="G375">
        <v>21</v>
      </c>
      <c r="H375">
        <v>2.6</v>
      </c>
      <c r="I375">
        <f>IF(MONTH(calls[[#This Row],[Date of Call]])&lt;=6, YEAR(calls[[#This Row],[Date of Call]]), YEAR(calls[[#This Row],[Date of Call]])+1)</f>
        <v>2025</v>
      </c>
      <c r="J375" t="str">
        <f>TEXT(calls[[#This Row],[Date of Call]],"DDDD")</f>
        <v>Thursday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45764</v>
      </c>
      <c r="G376">
        <v>88</v>
      </c>
      <c r="H376">
        <v>4.3</v>
      </c>
      <c r="I376">
        <f>IF(MONTH(calls[[#This Row],[Date of Call]])&lt;=6, YEAR(calls[[#This Row],[Date of Call]]), YEAR(calls[[#This Row],[Date of Call]])+1)</f>
        <v>2025</v>
      </c>
      <c r="J376" t="str">
        <f>TEXT(calls[[#This Row],[Date of Call]],"DDDD")</f>
        <v>Thursday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45764</v>
      </c>
      <c r="G377">
        <v>35</v>
      </c>
      <c r="H377">
        <v>4.4000000000000004</v>
      </c>
      <c r="I377">
        <f>IF(MONTH(calls[[#This Row],[Date of Call]])&lt;=6, YEAR(calls[[#This Row],[Date of Call]]), YEAR(calls[[#This Row],[Date of Call]])+1)</f>
        <v>2025</v>
      </c>
      <c r="J377" t="str">
        <f>TEXT(calls[[#This Row],[Date of Call]],"DDDD")</f>
        <v>Thursday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45764</v>
      </c>
      <c r="G378">
        <v>68</v>
      </c>
      <c r="H378">
        <v>4.3</v>
      </c>
      <c r="I378">
        <f>IF(MONTH(calls[[#This Row],[Date of Call]])&lt;=6, YEAR(calls[[#This Row],[Date of Call]]), YEAR(calls[[#This Row],[Date of Call]])+1)</f>
        <v>2025</v>
      </c>
      <c r="J378" t="str">
        <f>TEXT(calls[[#This Row],[Date of Call]],"DDDD")</f>
        <v>Thursday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45764</v>
      </c>
      <c r="G379">
        <v>148</v>
      </c>
      <c r="H379">
        <v>4.5</v>
      </c>
      <c r="I379">
        <f>IF(MONTH(calls[[#This Row],[Date of Call]])&lt;=6, YEAR(calls[[#This Row],[Date of Call]]), YEAR(calls[[#This Row],[Date of Call]])+1)</f>
        <v>2025</v>
      </c>
      <c r="J379" t="str">
        <f>TEXT(calls[[#This Row],[Date of Call]],"DDDD")</f>
        <v>Thursday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45765</v>
      </c>
      <c r="G380">
        <v>81</v>
      </c>
      <c r="H380">
        <v>4.2</v>
      </c>
      <c r="I380">
        <f>IF(MONTH(calls[[#This Row],[Date of Call]])&lt;=6, YEAR(calls[[#This Row],[Date of Call]]), YEAR(calls[[#This Row],[Date of Call]])+1)</f>
        <v>2025</v>
      </c>
      <c r="J380" t="str">
        <f>TEXT(calls[[#This Row],[Date of Call]],"DDDD")</f>
        <v>Friday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45765</v>
      </c>
      <c r="G381">
        <v>75</v>
      </c>
      <c r="H381">
        <v>3.9</v>
      </c>
      <c r="I381">
        <f>IF(MONTH(calls[[#This Row],[Date of Call]])&lt;=6, YEAR(calls[[#This Row],[Date of Call]]), YEAR(calls[[#This Row],[Date of Call]])+1)</f>
        <v>2025</v>
      </c>
      <c r="J381" t="str">
        <f>TEXT(calls[[#This Row],[Date of Call]],"DDDD")</f>
        <v>Friday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45766</v>
      </c>
      <c r="G382">
        <v>32</v>
      </c>
      <c r="H382">
        <v>3.6</v>
      </c>
      <c r="I382">
        <f>IF(MONTH(calls[[#This Row],[Date of Call]])&lt;=6, YEAR(calls[[#This Row],[Date of Call]]), YEAR(calls[[#This Row],[Date of Call]])+1)</f>
        <v>2025</v>
      </c>
      <c r="J382" t="str">
        <f>TEXT(calls[[#This Row],[Date of Call]],"DDDD")</f>
        <v>Saturday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45766</v>
      </c>
      <c r="G383">
        <v>156</v>
      </c>
      <c r="H383">
        <v>3.8</v>
      </c>
      <c r="I383">
        <f>IF(MONTH(calls[[#This Row],[Date of Call]])&lt;=6, YEAR(calls[[#This Row],[Date of Call]]), YEAR(calls[[#This Row],[Date of Call]])+1)</f>
        <v>2025</v>
      </c>
      <c r="J383" t="str">
        <f>TEXT(calls[[#This Row],[Date of Call]],"DDDD")</f>
        <v>Saturday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45766</v>
      </c>
      <c r="G384">
        <v>99</v>
      </c>
      <c r="H384">
        <v>4.9000000000000004</v>
      </c>
      <c r="I384">
        <f>IF(MONTH(calls[[#This Row],[Date of Call]])&lt;=6, YEAR(calls[[#This Row],[Date of Call]]), YEAR(calls[[#This Row],[Date of Call]])+1)</f>
        <v>2025</v>
      </c>
      <c r="J384" t="str">
        <f>TEXT(calls[[#This Row],[Date of Call]],"DDDD")</f>
        <v>Saturday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45766</v>
      </c>
      <c r="G385">
        <v>26</v>
      </c>
      <c r="H385">
        <v>4</v>
      </c>
      <c r="I385">
        <f>IF(MONTH(calls[[#This Row],[Date of Call]])&lt;=6, YEAR(calls[[#This Row],[Date of Call]]), YEAR(calls[[#This Row],[Date of Call]])+1)</f>
        <v>2025</v>
      </c>
      <c r="J385" t="str">
        <f>TEXT(calls[[#This Row],[Date of Call]],"DDDD")</f>
        <v>Saturday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45766</v>
      </c>
      <c r="G386">
        <v>84</v>
      </c>
      <c r="H386">
        <v>4.0999999999999996</v>
      </c>
      <c r="I386">
        <f>IF(MONTH(calls[[#This Row],[Date of Call]])&lt;=6, YEAR(calls[[#This Row],[Date of Call]]), YEAR(calls[[#This Row],[Date of Call]])+1)</f>
        <v>2025</v>
      </c>
      <c r="J386" t="str">
        <f>TEXT(calls[[#This Row],[Date of Call]],"DDDD")</f>
        <v>Saturday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45766</v>
      </c>
      <c r="G387">
        <v>84</v>
      </c>
      <c r="H387">
        <v>4.8</v>
      </c>
      <c r="I387">
        <f>IF(MONTH(calls[[#This Row],[Date of Call]])&lt;=6, YEAR(calls[[#This Row],[Date of Call]]), YEAR(calls[[#This Row],[Date of Call]])+1)</f>
        <v>2025</v>
      </c>
      <c r="J387" t="str">
        <f>TEXT(calls[[#This Row],[Date of Call]],"DDDD")</f>
        <v>Saturday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45766</v>
      </c>
      <c r="G388">
        <v>170</v>
      </c>
      <c r="H388">
        <v>2.2999999999999998</v>
      </c>
      <c r="I388">
        <f>IF(MONTH(calls[[#This Row],[Date of Call]])&lt;=6, YEAR(calls[[#This Row],[Date of Call]]), YEAR(calls[[#This Row],[Date of Call]])+1)</f>
        <v>2025</v>
      </c>
      <c r="J388" t="str">
        <f>TEXT(calls[[#This Row],[Date of Call]],"DDDD")</f>
        <v>Saturday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45766</v>
      </c>
      <c r="G389">
        <v>35</v>
      </c>
      <c r="H389">
        <v>4.4000000000000004</v>
      </c>
      <c r="I389">
        <f>IF(MONTH(calls[[#This Row],[Date of Call]])&lt;=6, YEAR(calls[[#This Row],[Date of Call]]), YEAR(calls[[#This Row],[Date of Call]])+1)</f>
        <v>2025</v>
      </c>
      <c r="J389" t="str">
        <f>TEXT(calls[[#This Row],[Date of Call]],"DDDD")</f>
        <v>Saturday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45767</v>
      </c>
      <c r="G390">
        <v>35</v>
      </c>
      <c r="H390">
        <v>3.8</v>
      </c>
      <c r="I390">
        <f>IF(MONTH(calls[[#This Row],[Date of Call]])&lt;=6, YEAR(calls[[#This Row],[Date of Call]]), YEAR(calls[[#This Row],[Date of Call]])+1)</f>
        <v>2025</v>
      </c>
      <c r="J390" t="str">
        <f>TEXT(calls[[#This Row],[Date of Call]],"DDDD")</f>
        <v>Sunday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45767</v>
      </c>
      <c r="G391">
        <v>132</v>
      </c>
      <c r="H391">
        <v>5</v>
      </c>
      <c r="I391">
        <f>IF(MONTH(calls[[#This Row],[Date of Call]])&lt;=6, YEAR(calls[[#This Row],[Date of Call]]), YEAR(calls[[#This Row],[Date of Call]])+1)</f>
        <v>2025</v>
      </c>
      <c r="J391" t="str">
        <f>TEXT(calls[[#This Row],[Date of Call]],"DDDD")</f>
        <v>Sunday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45768</v>
      </c>
      <c r="G392">
        <v>144</v>
      </c>
      <c r="H392">
        <v>3.3</v>
      </c>
      <c r="I392">
        <f>IF(MONTH(calls[[#This Row],[Date of Call]])&lt;=6, YEAR(calls[[#This Row],[Date of Call]]), YEAR(calls[[#This Row],[Date of Call]])+1)</f>
        <v>2025</v>
      </c>
      <c r="J392" t="str">
        <f>TEXT(calls[[#This Row],[Date of Call]],"DDDD")</f>
        <v>Monday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45768</v>
      </c>
      <c r="G393">
        <v>48</v>
      </c>
      <c r="H393">
        <v>5</v>
      </c>
      <c r="I393">
        <f>IF(MONTH(calls[[#This Row],[Date of Call]])&lt;=6, YEAR(calls[[#This Row],[Date of Call]]), YEAR(calls[[#This Row],[Date of Call]])+1)</f>
        <v>2025</v>
      </c>
      <c r="J393" t="str">
        <f>TEXT(calls[[#This Row],[Date of Call]],"DDDD")</f>
        <v>Monday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45768</v>
      </c>
      <c r="G394">
        <v>200</v>
      </c>
      <c r="H394">
        <v>2.2999999999999998</v>
      </c>
      <c r="I394">
        <f>IF(MONTH(calls[[#This Row],[Date of Call]])&lt;=6, YEAR(calls[[#This Row],[Date of Call]]), YEAR(calls[[#This Row],[Date of Call]])+1)</f>
        <v>2025</v>
      </c>
      <c r="J394" t="str">
        <f>TEXT(calls[[#This Row],[Date of Call]],"DDDD")</f>
        <v>Monday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45768</v>
      </c>
      <c r="G395">
        <v>38</v>
      </c>
      <c r="H395">
        <v>4.8</v>
      </c>
      <c r="I395">
        <f>IF(MONTH(calls[[#This Row],[Date of Call]])&lt;=6, YEAR(calls[[#This Row],[Date of Call]]), YEAR(calls[[#This Row],[Date of Call]])+1)</f>
        <v>2025</v>
      </c>
      <c r="J395" t="str">
        <f>TEXT(calls[[#This Row],[Date of Call]],"DDDD")</f>
        <v>Monday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45768</v>
      </c>
      <c r="G396">
        <v>81</v>
      </c>
      <c r="H396">
        <v>3.7</v>
      </c>
      <c r="I396">
        <f>IF(MONTH(calls[[#This Row],[Date of Call]])&lt;=6, YEAR(calls[[#This Row],[Date of Call]]), YEAR(calls[[#This Row],[Date of Call]])+1)</f>
        <v>2025</v>
      </c>
      <c r="J396" t="str">
        <f>TEXT(calls[[#This Row],[Date of Call]],"DDDD")</f>
        <v>Monday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45768</v>
      </c>
      <c r="G397">
        <v>120</v>
      </c>
      <c r="H397">
        <v>4.2</v>
      </c>
      <c r="I397">
        <f>IF(MONTH(calls[[#This Row],[Date of Call]])&lt;=6, YEAR(calls[[#This Row],[Date of Call]]), YEAR(calls[[#This Row],[Date of Call]])+1)</f>
        <v>2025</v>
      </c>
      <c r="J397" t="str">
        <f>TEXT(calls[[#This Row],[Date of Call]],"DDDD")</f>
        <v>Monday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45768</v>
      </c>
      <c r="G398">
        <v>74</v>
      </c>
      <c r="H398">
        <v>4.8</v>
      </c>
      <c r="I398">
        <f>IF(MONTH(calls[[#This Row],[Date of Call]])&lt;=6, YEAR(calls[[#This Row],[Date of Call]]), YEAR(calls[[#This Row],[Date of Call]])+1)</f>
        <v>2025</v>
      </c>
      <c r="J398" t="str">
        <f>TEXT(calls[[#This Row],[Date of Call]],"DDDD")</f>
        <v>Monday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45769</v>
      </c>
      <c r="G399">
        <v>128</v>
      </c>
      <c r="H399">
        <v>4.7</v>
      </c>
      <c r="I399">
        <f>IF(MONTH(calls[[#This Row],[Date of Call]])&lt;=6, YEAR(calls[[#This Row],[Date of Call]]), YEAR(calls[[#This Row],[Date of Call]])+1)</f>
        <v>2025</v>
      </c>
      <c r="J399" t="str">
        <f>TEXT(calls[[#This Row],[Date of Call]],"DDDD")</f>
        <v>Tuesday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45769</v>
      </c>
      <c r="G400">
        <v>21</v>
      </c>
      <c r="H400">
        <v>3.9</v>
      </c>
      <c r="I400">
        <f>IF(MONTH(calls[[#This Row],[Date of Call]])&lt;=6, YEAR(calls[[#This Row],[Date of Call]]), YEAR(calls[[#This Row],[Date of Call]])+1)</f>
        <v>2025</v>
      </c>
      <c r="J400" t="str">
        <f>TEXT(calls[[#This Row],[Date of Call]],"DDDD")</f>
        <v>Tuesday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45769</v>
      </c>
      <c r="G401">
        <v>110</v>
      </c>
      <c r="H401">
        <v>4.3</v>
      </c>
      <c r="I401">
        <f>IF(MONTH(calls[[#This Row],[Date of Call]])&lt;=6, YEAR(calls[[#This Row],[Date of Call]]), YEAR(calls[[#This Row],[Date of Call]])+1)</f>
        <v>2025</v>
      </c>
      <c r="J401" t="str">
        <f>TEXT(calls[[#This Row],[Date of Call]],"DDDD")</f>
        <v>Tuesday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45769</v>
      </c>
      <c r="G402">
        <v>145</v>
      </c>
      <c r="H402">
        <v>4</v>
      </c>
      <c r="I402">
        <f>IF(MONTH(calls[[#This Row],[Date of Call]])&lt;=6, YEAR(calls[[#This Row],[Date of Call]]), YEAR(calls[[#This Row],[Date of Call]])+1)</f>
        <v>2025</v>
      </c>
      <c r="J402" t="str">
        <f>TEXT(calls[[#This Row],[Date of Call]],"DDDD")</f>
        <v>Tuesday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45769</v>
      </c>
      <c r="G403">
        <v>129</v>
      </c>
      <c r="H403">
        <v>4</v>
      </c>
      <c r="I403">
        <f>IF(MONTH(calls[[#This Row],[Date of Call]])&lt;=6, YEAR(calls[[#This Row],[Date of Call]]), YEAR(calls[[#This Row],[Date of Call]])+1)</f>
        <v>2025</v>
      </c>
      <c r="J403" t="str">
        <f>TEXT(calls[[#This Row],[Date of Call]],"DDDD")</f>
        <v>Tuesday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45769</v>
      </c>
      <c r="G404">
        <v>156</v>
      </c>
      <c r="H404">
        <v>3.2</v>
      </c>
      <c r="I404">
        <f>IF(MONTH(calls[[#This Row],[Date of Call]])&lt;=6, YEAR(calls[[#This Row],[Date of Call]]), YEAR(calls[[#This Row],[Date of Call]])+1)</f>
        <v>2025</v>
      </c>
      <c r="J404" t="str">
        <f>TEXT(calls[[#This Row],[Date of Call]],"DDDD")</f>
        <v>Tuesday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45772</v>
      </c>
      <c r="G405">
        <v>120</v>
      </c>
      <c r="H405">
        <v>3.8</v>
      </c>
      <c r="I405">
        <f>IF(MONTH(calls[[#This Row],[Date of Call]])&lt;=6, YEAR(calls[[#This Row],[Date of Call]]), YEAR(calls[[#This Row],[Date of Call]])+1)</f>
        <v>2025</v>
      </c>
      <c r="J405" t="str">
        <f>TEXT(calls[[#This Row],[Date of Call]],"DDDD")</f>
        <v>Friday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45772</v>
      </c>
      <c r="G406">
        <v>62</v>
      </c>
      <c r="H406">
        <v>3.4</v>
      </c>
      <c r="I406">
        <f>IF(MONTH(calls[[#This Row],[Date of Call]])&lt;=6, YEAR(calls[[#This Row],[Date of Call]]), YEAR(calls[[#This Row],[Date of Call]])+1)</f>
        <v>2025</v>
      </c>
      <c r="J406" t="str">
        <f>TEXT(calls[[#This Row],[Date of Call]],"DDDD")</f>
        <v>Friday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45772</v>
      </c>
      <c r="G407">
        <v>160</v>
      </c>
      <c r="H407">
        <v>3.2</v>
      </c>
      <c r="I407">
        <f>IF(MONTH(calls[[#This Row],[Date of Call]])&lt;=6, YEAR(calls[[#This Row],[Date of Call]]), YEAR(calls[[#This Row],[Date of Call]])+1)</f>
        <v>2025</v>
      </c>
      <c r="J407" t="str">
        <f>TEXT(calls[[#This Row],[Date of Call]],"DDDD")</f>
        <v>Friday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45772</v>
      </c>
      <c r="G408">
        <v>56</v>
      </c>
      <c r="H408">
        <v>4.7</v>
      </c>
      <c r="I408">
        <f>IF(MONTH(calls[[#This Row],[Date of Call]])&lt;=6, YEAR(calls[[#This Row],[Date of Call]]), YEAR(calls[[#This Row],[Date of Call]])+1)</f>
        <v>2025</v>
      </c>
      <c r="J408" t="str">
        <f>TEXT(calls[[#This Row],[Date of Call]],"DDDD")</f>
        <v>Friday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45772</v>
      </c>
      <c r="G409">
        <v>72</v>
      </c>
      <c r="H409">
        <v>4</v>
      </c>
      <c r="I409">
        <f>IF(MONTH(calls[[#This Row],[Date of Call]])&lt;=6, YEAR(calls[[#This Row],[Date of Call]]), YEAR(calls[[#This Row],[Date of Call]])+1)</f>
        <v>2025</v>
      </c>
      <c r="J409" t="str">
        <f>TEXT(calls[[#This Row],[Date of Call]],"DDDD")</f>
        <v>Friday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45771</v>
      </c>
      <c r="G410">
        <v>81</v>
      </c>
      <c r="H410">
        <v>4.8</v>
      </c>
      <c r="I410">
        <f>IF(MONTH(calls[[#This Row],[Date of Call]])&lt;=6, YEAR(calls[[#This Row],[Date of Call]]), YEAR(calls[[#This Row],[Date of Call]])+1)</f>
        <v>2025</v>
      </c>
      <c r="J410" t="str">
        <f>TEXT(calls[[#This Row],[Date of Call]],"DDDD")</f>
        <v>Thursday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45771</v>
      </c>
      <c r="G411">
        <v>144</v>
      </c>
      <c r="H411">
        <v>3.9</v>
      </c>
      <c r="I411">
        <f>IF(MONTH(calls[[#This Row],[Date of Call]])&lt;=6, YEAR(calls[[#This Row],[Date of Call]]), YEAR(calls[[#This Row],[Date of Call]])+1)</f>
        <v>2025</v>
      </c>
      <c r="J411" t="str">
        <f>TEXT(calls[[#This Row],[Date of Call]],"DDDD")</f>
        <v>Thursday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45771</v>
      </c>
      <c r="G412">
        <v>111</v>
      </c>
      <c r="H412">
        <v>4.3</v>
      </c>
      <c r="I412">
        <f>IF(MONTH(calls[[#This Row],[Date of Call]])&lt;=6, YEAR(calls[[#This Row],[Date of Call]]), YEAR(calls[[#This Row],[Date of Call]])+1)</f>
        <v>2025</v>
      </c>
      <c r="J412" t="str">
        <f>TEXT(calls[[#This Row],[Date of Call]],"DDDD")</f>
        <v>Thursday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45771</v>
      </c>
      <c r="G413">
        <v>43</v>
      </c>
      <c r="H413">
        <v>4.2</v>
      </c>
      <c r="I413">
        <f>IF(MONTH(calls[[#This Row],[Date of Call]])&lt;=6, YEAR(calls[[#This Row],[Date of Call]]), YEAR(calls[[#This Row],[Date of Call]])+1)</f>
        <v>2025</v>
      </c>
      <c r="J413" t="str">
        <f>TEXT(calls[[#This Row],[Date of Call]],"DDDD")</f>
        <v>Thursday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45771</v>
      </c>
      <c r="G414">
        <v>41</v>
      </c>
      <c r="H414">
        <v>4.9000000000000004</v>
      </c>
      <c r="I414">
        <f>IF(MONTH(calls[[#This Row],[Date of Call]])&lt;=6, YEAR(calls[[#This Row],[Date of Call]]), YEAR(calls[[#This Row],[Date of Call]])+1)</f>
        <v>2025</v>
      </c>
      <c r="J414" t="str">
        <f>TEXT(calls[[#This Row],[Date of Call]],"DDDD")</f>
        <v>Thursday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45771</v>
      </c>
      <c r="G415">
        <v>74</v>
      </c>
      <c r="H415">
        <v>4</v>
      </c>
      <c r="I415">
        <f>IF(MONTH(calls[[#This Row],[Date of Call]])&lt;=6, YEAR(calls[[#This Row],[Date of Call]]), YEAR(calls[[#This Row],[Date of Call]])+1)</f>
        <v>2025</v>
      </c>
      <c r="J415" t="str">
        <f>TEXT(calls[[#This Row],[Date of Call]],"DDDD")</f>
        <v>Thursday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45771</v>
      </c>
      <c r="G416">
        <v>43</v>
      </c>
      <c r="H416">
        <v>4.9000000000000004</v>
      </c>
      <c r="I416">
        <f>IF(MONTH(calls[[#This Row],[Date of Call]])&lt;=6, YEAR(calls[[#This Row],[Date of Call]]), YEAR(calls[[#This Row],[Date of Call]])+1)</f>
        <v>2025</v>
      </c>
      <c r="J416" t="str">
        <f>TEXT(calls[[#This Row],[Date of Call]],"DDDD")</f>
        <v>Thursday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45771</v>
      </c>
      <c r="G417">
        <v>128</v>
      </c>
      <c r="H417">
        <v>3.6</v>
      </c>
      <c r="I417">
        <f>IF(MONTH(calls[[#This Row],[Date of Call]])&lt;=6, YEAR(calls[[#This Row],[Date of Call]]), YEAR(calls[[#This Row],[Date of Call]])+1)</f>
        <v>2025</v>
      </c>
      <c r="J417" t="str">
        <f>TEXT(calls[[#This Row],[Date of Call]],"DDDD")</f>
        <v>Thursday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45772</v>
      </c>
      <c r="G418">
        <v>144</v>
      </c>
      <c r="H418">
        <v>4.0999999999999996</v>
      </c>
      <c r="I418">
        <f>IF(MONTH(calls[[#This Row],[Date of Call]])&lt;=6, YEAR(calls[[#This Row],[Date of Call]]), YEAR(calls[[#This Row],[Date of Call]])+1)</f>
        <v>2025</v>
      </c>
      <c r="J418" t="str">
        <f>TEXT(calls[[#This Row],[Date of Call]],"DDDD")</f>
        <v>Friday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45772</v>
      </c>
      <c r="G419">
        <v>132</v>
      </c>
      <c r="H419">
        <v>4.9000000000000004</v>
      </c>
      <c r="I419">
        <f>IF(MONTH(calls[[#This Row],[Date of Call]])&lt;=6, YEAR(calls[[#This Row],[Date of Call]]), YEAR(calls[[#This Row],[Date of Call]])+1)</f>
        <v>2025</v>
      </c>
      <c r="J419" t="str">
        <f>TEXT(calls[[#This Row],[Date of Call]],"DDDD")</f>
        <v>Friday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45772</v>
      </c>
      <c r="G420">
        <v>180</v>
      </c>
      <c r="H420">
        <v>3.9</v>
      </c>
      <c r="I420">
        <f>IF(MONTH(calls[[#This Row],[Date of Call]])&lt;=6, YEAR(calls[[#This Row],[Date of Call]]), YEAR(calls[[#This Row],[Date of Call]])+1)</f>
        <v>2025</v>
      </c>
      <c r="J420" t="str">
        <f>TEXT(calls[[#This Row],[Date of Call]],"DDDD")</f>
        <v>Friday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45772</v>
      </c>
      <c r="G421">
        <v>31</v>
      </c>
      <c r="H421">
        <v>4.0999999999999996</v>
      </c>
      <c r="I421">
        <f>IF(MONTH(calls[[#This Row],[Date of Call]])&lt;=6, YEAR(calls[[#This Row],[Date of Call]]), YEAR(calls[[#This Row],[Date of Call]])+1)</f>
        <v>2025</v>
      </c>
      <c r="J421" t="str">
        <f>TEXT(calls[[#This Row],[Date of Call]],"DDDD")</f>
        <v>Friday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45772</v>
      </c>
      <c r="G422">
        <v>102</v>
      </c>
      <c r="H422">
        <v>3.8</v>
      </c>
      <c r="I422">
        <f>IF(MONTH(calls[[#This Row],[Date of Call]])&lt;=6, YEAR(calls[[#This Row],[Date of Call]]), YEAR(calls[[#This Row],[Date of Call]])+1)</f>
        <v>2025</v>
      </c>
      <c r="J422" t="str">
        <f>TEXT(calls[[#This Row],[Date of Call]],"DDDD")</f>
        <v>Friday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45773</v>
      </c>
      <c r="G423">
        <v>175</v>
      </c>
      <c r="H423">
        <v>4.8</v>
      </c>
      <c r="I423">
        <f>IF(MONTH(calls[[#This Row],[Date of Call]])&lt;=6, YEAR(calls[[#This Row],[Date of Call]]), YEAR(calls[[#This Row],[Date of Call]])+1)</f>
        <v>2025</v>
      </c>
      <c r="J423" t="str">
        <f>TEXT(calls[[#This Row],[Date of Call]],"DDDD")</f>
        <v>Saturday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45773</v>
      </c>
      <c r="G424">
        <v>87</v>
      </c>
      <c r="H424">
        <v>4.7</v>
      </c>
      <c r="I424">
        <f>IF(MONTH(calls[[#This Row],[Date of Call]])&lt;=6, YEAR(calls[[#This Row],[Date of Call]]), YEAR(calls[[#This Row],[Date of Call]])+1)</f>
        <v>2025</v>
      </c>
      <c r="J424" t="str">
        <f>TEXT(calls[[#This Row],[Date of Call]],"DDDD")</f>
        <v>Saturday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45773</v>
      </c>
      <c r="G425">
        <v>66</v>
      </c>
      <c r="H425">
        <v>4.2</v>
      </c>
      <c r="I425">
        <f>IF(MONTH(calls[[#This Row],[Date of Call]])&lt;=6, YEAR(calls[[#This Row],[Date of Call]]), YEAR(calls[[#This Row],[Date of Call]])+1)</f>
        <v>2025</v>
      </c>
      <c r="J425" t="str">
        <f>TEXT(calls[[#This Row],[Date of Call]],"DDDD")</f>
        <v>Saturday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45773</v>
      </c>
      <c r="G426">
        <v>25</v>
      </c>
      <c r="H426">
        <v>3.2</v>
      </c>
      <c r="I426">
        <f>IF(MONTH(calls[[#This Row],[Date of Call]])&lt;=6, YEAR(calls[[#This Row],[Date of Call]]), YEAR(calls[[#This Row],[Date of Call]])+1)</f>
        <v>2025</v>
      </c>
      <c r="J426" t="str">
        <f>TEXT(calls[[#This Row],[Date of Call]],"DDDD")</f>
        <v>Saturday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45773</v>
      </c>
      <c r="G427">
        <v>126</v>
      </c>
      <c r="H427">
        <v>3.4</v>
      </c>
      <c r="I427">
        <f>IF(MONTH(calls[[#This Row],[Date of Call]])&lt;=6, YEAR(calls[[#This Row],[Date of Call]]), YEAR(calls[[#This Row],[Date of Call]])+1)</f>
        <v>2025</v>
      </c>
      <c r="J427" t="str">
        <f>TEXT(calls[[#This Row],[Date of Call]],"DDDD")</f>
        <v>Saturday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45774</v>
      </c>
      <c r="G428">
        <v>42</v>
      </c>
      <c r="H428">
        <v>4.5999999999999996</v>
      </c>
      <c r="I428">
        <f>IF(MONTH(calls[[#This Row],[Date of Call]])&lt;=6, YEAR(calls[[#This Row],[Date of Call]]), YEAR(calls[[#This Row],[Date of Call]])+1)</f>
        <v>2025</v>
      </c>
      <c r="J428" t="str">
        <f>TEXT(calls[[#This Row],[Date of Call]],"DDDD")</f>
        <v>Sunday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45774</v>
      </c>
      <c r="G429">
        <v>225</v>
      </c>
      <c r="H429">
        <v>1.9</v>
      </c>
      <c r="I429">
        <f>IF(MONTH(calls[[#This Row],[Date of Call]])&lt;=6, YEAR(calls[[#This Row],[Date of Call]]), YEAR(calls[[#This Row],[Date of Call]])+1)</f>
        <v>2025</v>
      </c>
      <c r="J429" t="str">
        <f>TEXT(calls[[#This Row],[Date of Call]],"DDDD")</f>
        <v>Sunday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45774</v>
      </c>
      <c r="G430">
        <v>42</v>
      </c>
      <c r="H430">
        <v>3.3</v>
      </c>
      <c r="I430">
        <f>IF(MONTH(calls[[#This Row],[Date of Call]])&lt;=6, YEAR(calls[[#This Row],[Date of Call]]), YEAR(calls[[#This Row],[Date of Call]])+1)</f>
        <v>2025</v>
      </c>
      <c r="J430" t="str">
        <f>TEXT(calls[[#This Row],[Date of Call]],"DDDD")</f>
        <v>Sunday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45775</v>
      </c>
      <c r="G431">
        <v>110</v>
      </c>
      <c r="H431">
        <v>3.1</v>
      </c>
      <c r="I431">
        <f>IF(MONTH(calls[[#This Row],[Date of Call]])&lt;=6, YEAR(calls[[#This Row],[Date of Call]]), YEAR(calls[[#This Row],[Date of Call]])+1)</f>
        <v>2025</v>
      </c>
      <c r="J431" t="str">
        <f>TEXT(calls[[#This Row],[Date of Call]],"DDDD")</f>
        <v>Monday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45775</v>
      </c>
      <c r="G432">
        <v>225</v>
      </c>
      <c r="H432">
        <v>4.8</v>
      </c>
      <c r="I432">
        <f>IF(MONTH(calls[[#This Row],[Date of Call]])&lt;=6, YEAR(calls[[#This Row],[Date of Call]]), YEAR(calls[[#This Row],[Date of Call]])+1)</f>
        <v>2025</v>
      </c>
      <c r="J432" t="str">
        <f>TEXT(calls[[#This Row],[Date of Call]],"DDDD")</f>
        <v>Monday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45776</v>
      </c>
      <c r="G433">
        <v>125</v>
      </c>
      <c r="H433">
        <v>3.3</v>
      </c>
      <c r="I433">
        <f>IF(MONTH(calls[[#This Row],[Date of Call]])&lt;=6, YEAR(calls[[#This Row],[Date of Call]]), YEAR(calls[[#This Row],[Date of Call]])+1)</f>
        <v>2025</v>
      </c>
      <c r="J433" t="str">
        <f>TEXT(calls[[#This Row],[Date of Call]],"DDDD")</f>
        <v>Tuesday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45776</v>
      </c>
      <c r="G434">
        <v>78</v>
      </c>
      <c r="H434">
        <v>2.9</v>
      </c>
      <c r="I434">
        <f>IF(MONTH(calls[[#This Row],[Date of Call]])&lt;=6, YEAR(calls[[#This Row],[Date of Call]]), YEAR(calls[[#This Row],[Date of Call]])+1)</f>
        <v>2025</v>
      </c>
      <c r="J434" t="str">
        <f>TEXT(calls[[#This Row],[Date of Call]],"DDDD")</f>
        <v>Tuesday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45776</v>
      </c>
      <c r="G435">
        <v>40</v>
      </c>
      <c r="H435">
        <v>2.4</v>
      </c>
      <c r="I435">
        <f>IF(MONTH(calls[[#This Row],[Date of Call]])&lt;=6, YEAR(calls[[#This Row],[Date of Call]]), YEAR(calls[[#This Row],[Date of Call]])+1)</f>
        <v>2025</v>
      </c>
      <c r="J435" t="str">
        <f>TEXT(calls[[#This Row],[Date of Call]],"DDDD")</f>
        <v>Tuesday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45776</v>
      </c>
      <c r="G436">
        <v>150</v>
      </c>
      <c r="H436">
        <v>4.5999999999999996</v>
      </c>
      <c r="I436">
        <f>IF(MONTH(calls[[#This Row],[Date of Call]])&lt;=6, YEAR(calls[[#This Row],[Date of Call]]), YEAR(calls[[#This Row],[Date of Call]])+1)</f>
        <v>2025</v>
      </c>
      <c r="J436" t="str">
        <f>TEXT(calls[[#This Row],[Date of Call]],"DDDD")</f>
        <v>Tuesday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45776</v>
      </c>
      <c r="G437">
        <v>96</v>
      </c>
      <c r="H437">
        <v>4.8</v>
      </c>
      <c r="I437">
        <f>IF(MONTH(calls[[#This Row],[Date of Call]])&lt;=6, YEAR(calls[[#This Row],[Date of Call]]), YEAR(calls[[#This Row],[Date of Call]])+1)</f>
        <v>2025</v>
      </c>
      <c r="J437" t="str">
        <f>TEXT(calls[[#This Row],[Date of Call]],"DDDD")</f>
        <v>Tuesday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45777</v>
      </c>
      <c r="G438">
        <v>75</v>
      </c>
      <c r="H438">
        <v>4.8</v>
      </c>
      <c r="I438">
        <f>IF(MONTH(calls[[#This Row],[Date of Call]])&lt;=6, YEAR(calls[[#This Row],[Date of Call]]), YEAR(calls[[#This Row],[Date of Call]])+1)</f>
        <v>2025</v>
      </c>
      <c r="J438" t="str">
        <f>TEXT(calls[[#This Row],[Date of Call]],"DDDD")</f>
        <v>Wednesday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45777</v>
      </c>
      <c r="G439">
        <v>60</v>
      </c>
      <c r="H439">
        <v>3.6</v>
      </c>
      <c r="I439">
        <f>IF(MONTH(calls[[#This Row],[Date of Call]])&lt;=6, YEAR(calls[[#This Row],[Date of Call]]), YEAR(calls[[#This Row],[Date of Call]])+1)</f>
        <v>2025</v>
      </c>
      <c r="J439" t="str">
        <f>TEXT(calls[[#This Row],[Date of Call]],"DDDD")</f>
        <v>Wednesday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45778</v>
      </c>
      <c r="G440">
        <v>41</v>
      </c>
      <c r="H440">
        <v>4.8</v>
      </c>
      <c r="I440">
        <f>IF(MONTH(calls[[#This Row],[Date of Call]])&lt;=6, YEAR(calls[[#This Row],[Date of Call]]), YEAR(calls[[#This Row],[Date of Call]])+1)</f>
        <v>2025</v>
      </c>
      <c r="J440" t="str">
        <f>TEXT(calls[[#This Row],[Date of Call]],"DDDD")</f>
        <v>Thursday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45778</v>
      </c>
      <c r="G441">
        <v>20</v>
      </c>
      <c r="H441">
        <v>4.2</v>
      </c>
      <c r="I441">
        <f>IF(MONTH(calls[[#This Row],[Date of Call]])&lt;=6, YEAR(calls[[#This Row],[Date of Call]]), YEAR(calls[[#This Row],[Date of Call]])+1)</f>
        <v>2025</v>
      </c>
      <c r="J441" t="str">
        <f>TEXT(calls[[#This Row],[Date of Call]],"DDDD")</f>
        <v>Thursday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45778</v>
      </c>
      <c r="G442">
        <v>84</v>
      </c>
      <c r="H442">
        <v>2.6</v>
      </c>
      <c r="I442">
        <f>IF(MONTH(calls[[#This Row],[Date of Call]])&lt;=6, YEAR(calls[[#This Row],[Date of Call]]), YEAR(calls[[#This Row],[Date of Call]])+1)</f>
        <v>2025</v>
      </c>
      <c r="J442" t="str">
        <f>TEXT(calls[[#This Row],[Date of Call]],"DDDD")</f>
        <v>Thursday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45778</v>
      </c>
      <c r="G443">
        <v>140</v>
      </c>
      <c r="H443">
        <v>3.7</v>
      </c>
      <c r="I443">
        <f>IF(MONTH(calls[[#This Row],[Date of Call]])&lt;=6, YEAR(calls[[#This Row],[Date of Call]]), YEAR(calls[[#This Row],[Date of Call]])+1)</f>
        <v>2025</v>
      </c>
      <c r="J443" t="str">
        <f>TEXT(calls[[#This Row],[Date of Call]],"DDDD")</f>
        <v>Thursday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45778</v>
      </c>
      <c r="G444">
        <v>66</v>
      </c>
      <c r="H444">
        <v>4.8</v>
      </c>
      <c r="I444">
        <f>IF(MONTH(calls[[#This Row],[Date of Call]])&lt;=6, YEAR(calls[[#This Row],[Date of Call]]), YEAR(calls[[#This Row],[Date of Call]])+1)</f>
        <v>2025</v>
      </c>
      <c r="J444" t="str">
        <f>TEXT(calls[[#This Row],[Date of Call]],"DDDD")</f>
        <v>Thursday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45778</v>
      </c>
      <c r="G445">
        <v>105</v>
      </c>
      <c r="H445">
        <v>4.7</v>
      </c>
      <c r="I445">
        <f>IF(MONTH(calls[[#This Row],[Date of Call]])&lt;=6, YEAR(calls[[#This Row],[Date of Call]]), YEAR(calls[[#This Row],[Date of Call]])+1)</f>
        <v>2025</v>
      </c>
      <c r="J445" t="str">
        <f>TEXT(calls[[#This Row],[Date of Call]],"DDDD")</f>
        <v>Thursday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45779</v>
      </c>
      <c r="G446">
        <v>104</v>
      </c>
      <c r="H446">
        <v>4.0999999999999996</v>
      </c>
      <c r="I446">
        <f>IF(MONTH(calls[[#This Row],[Date of Call]])&lt;=6, YEAR(calls[[#This Row],[Date of Call]]), YEAR(calls[[#This Row],[Date of Call]])+1)</f>
        <v>2025</v>
      </c>
      <c r="J446" t="str">
        <f>TEXT(calls[[#This Row],[Date of Call]],"DDDD")</f>
        <v>Friday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45779</v>
      </c>
      <c r="G447">
        <v>123</v>
      </c>
      <c r="H447">
        <v>3.2</v>
      </c>
      <c r="I447">
        <f>IF(MONTH(calls[[#This Row],[Date of Call]])&lt;=6, YEAR(calls[[#This Row],[Date of Call]]), YEAR(calls[[#This Row],[Date of Call]])+1)</f>
        <v>2025</v>
      </c>
      <c r="J447" t="str">
        <f>TEXT(calls[[#This Row],[Date of Call]],"DDDD")</f>
        <v>Friday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45780</v>
      </c>
      <c r="G448">
        <v>215</v>
      </c>
      <c r="H448">
        <v>4.3</v>
      </c>
      <c r="I448">
        <f>IF(MONTH(calls[[#This Row],[Date of Call]])&lt;=6, YEAR(calls[[#This Row],[Date of Call]]), YEAR(calls[[#This Row],[Date of Call]])+1)</f>
        <v>2025</v>
      </c>
      <c r="J448" t="str">
        <f>TEXT(calls[[#This Row],[Date of Call]],"DDDD")</f>
        <v>Saturday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45780</v>
      </c>
      <c r="G449">
        <v>46</v>
      </c>
      <c r="H449">
        <v>0.7</v>
      </c>
      <c r="I449">
        <f>IF(MONTH(calls[[#This Row],[Date of Call]])&lt;=6, YEAR(calls[[#This Row],[Date of Call]]), YEAR(calls[[#This Row],[Date of Call]])+1)</f>
        <v>2025</v>
      </c>
      <c r="J449" t="str">
        <f>TEXT(calls[[#This Row],[Date of Call]],"DDDD")</f>
        <v>Saturday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45780</v>
      </c>
      <c r="G450">
        <v>115</v>
      </c>
      <c r="H450">
        <v>3.7</v>
      </c>
      <c r="I450">
        <f>IF(MONTH(calls[[#This Row],[Date of Call]])&lt;=6, YEAR(calls[[#This Row],[Date of Call]]), YEAR(calls[[#This Row],[Date of Call]])+1)</f>
        <v>2025</v>
      </c>
      <c r="J450" t="str">
        <f>TEXT(calls[[#This Row],[Date of Call]],"DDDD")</f>
        <v>Saturday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45780</v>
      </c>
      <c r="G451">
        <v>124</v>
      </c>
      <c r="H451">
        <v>3.9</v>
      </c>
      <c r="I451">
        <f>IF(MONTH(calls[[#This Row],[Date of Call]])&lt;=6, YEAR(calls[[#This Row],[Date of Call]]), YEAR(calls[[#This Row],[Date of Call]])+1)</f>
        <v>2025</v>
      </c>
      <c r="J451" t="str">
        <f>TEXT(calls[[#This Row],[Date of Call]],"DDDD")</f>
        <v>Saturday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45781</v>
      </c>
      <c r="G452">
        <v>205</v>
      </c>
      <c r="H452">
        <v>4.5</v>
      </c>
      <c r="I452">
        <f>IF(MONTH(calls[[#This Row],[Date of Call]])&lt;=6, YEAR(calls[[#This Row],[Date of Call]]), YEAR(calls[[#This Row],[Date of Call]])+1)</f>
        <v>2025</v>
      </c>
      <c r="J452" t="str">
        <f>TEXT(calls[[#This Row],[Date of Call]],"DDDD")</f>
        <v>Sunday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45781</v>
      </c>
      <c r="G453">
        <v>90</v>
      </c>
      <c r="H453">
        <v>2.8</v>
      </c>
      <c r="I453">
        <f>IF(MONTH(calls[[#This Row],[Date of Call]])&lt;=6, YEAR(calls[[#This Row],[Date of Call]]), YEAR(calls[[#This Row],[Date of Call]])+1)</f>
        <v>2025</v>
      </c>
      <c r="J453" t="str">
        <f>TEXT(calls[[#This Row],[Date of Call]],"DDDD")</f>
        <v>Sunday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45781</v>
      </c>
      <c r="G454">
        <v>92</v>
      </c>
      <c r="H454">
        <v>4.9000000000000004</v>
      </c>
      <c r="I454">
        <f>IF(MONTH(calls[[#This Row],[Date of Call]])&lt;=6, YEAR(calls[[#This Row],[Date of Call]]), YEAR(calls[[#This Row],[Date of Call]])+1)</f>
        <v>2025</v>
      </c>
      <c r="J454" t="str">
        <f>TEXT(calls[[#This Row],[Date of Call]],"DDDD")</f>
        <v>Sunday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45783</v>
      </c>
      <c r="G455">
        <v>108</v>
      </c>
      <c r="H455">
        <v>4.2</v>
      </c>
      <c r="I455">
        <f>IF(MONTH(calls[[#This Row],[Date of Call]])&lt;=6, YEAR(calls[[#This Row],[Date of Call]]), YEAR(calls[[#This Row],[Date of Call]])+1)</f>
        <v>2025</v>
      </c>
      <c r="J455" t="str">
        <f>TEXT(calls[[#This Row],[Date of Call]],"DDDD")</f>
        <v>Tuesday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45783</v>
      </c>
      <c r="G456">
        <v>54</v>
      </c>
      <c r="H456">
        <v>4.4000000000000004</v>
      </c>
      <c r="I456">
        <f>IF(MONTH(calls[[#This Row],[Date of Call]])&lt;=6, YEAR(calls[[#This Row],[Date of Call]]), YEAR(calls[[#This Row],[Date of Call]])+1)</f>
        <v>2025</v>
      </c>
      <c r="J456" t="str">
        <f>TEXT(calls[[#This Row],[Date of Call]],"DDDD")</f>
        <v>Tuesday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45784</v>
      </c>
      <c r="G457">
        <v>44</v>
      </c>
      <c r="H457">
        <v>3.5</v>
      </c>
      <c r="I457">
        <f>IF(MONTH(calls[[#This Row],[Date of Call]])&lt;=6, YEAR(calls[[#This Row],[Date of Call]]), YEAR(calls[[#This Row],[Date of Call]])+1)</f>
        <v>2025</v>
      </c>
      <c r="J457" t="str">
        <f>TEXT(calls[[#This Row],[Date of Call]],"DDDD")</f>
        <v>Wednesday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45784</v>
      </c>
      <c r="G458">
        <v>44</v>
      </c>
      <c r="H458">
        <v>4.7</v>
      </c>
      <c r="I458">
        <f>IF(MONTH(calls[[#This Row],[Date of Call]])&lt;=6, YEAR(calls[[#This Row],[Date of Call]]), YEAR(calls[[#This Row],[Date of Call]])+1)</f>
        <v>2025</v>
      </c>
      <c r="J458" t="str">
        <f>TEXT(calls[[#This Row],[Date of Call]],"DDDD")</f>
        <v>Wednesday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45785</v>
      </c>
      <c r="G459">
        <v>37</v>
      </c>
      <c r="H459">
        <v>4.9000000000000004</v>
      </c>
      <c r="I459">
        <f>IF(MONTH(calls[[#This Row],[Date of Call]])&lt;=6, YEAR(calls[[#This Row],[Date of Call]]), YEAR(calls[[#This Row],[Date of Call]])+1)</f>
        <v>2025</v>
      </c>
      <c r="J459" t="str">
        <f>TEXT(calls[[#This Row],[Date of Call]],"DDDD")</f>
        <v>Thursday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45785</v>
      </c>
      <c r="G460">
        <v>180</v>
      </c>
      <c r="H460">
        <v>4.5</v>
      </c>
      <c r="I460">
        <f>IF(MONTH(calls[[#This Row],[Date of Call]])&lt;=6, YEAR(calls[[#This Row],[Date of Call]]), YEAR(calls[[#This Row],[Date of Call]])+1)</f>
        <v>2025</v>
      </c>
      <c r="J460" t="str">
        <f>TEXT(calls[[#This Row],[Date of Call]],"DDDD")</f>
        <v>Thursday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45785</v>
      </c>
      <c r="G461">
        <v>105</v>
      </c>
      <c r="H461">
        <v>4.9000000000000004</v>
      </c>
      <c r="I461">
        <f>IF(MONTH(calls[[#This Row],[Date of Call]])&lt;=6, YEAR(calls[[#This Row],[Date of Call]]), YEAR(calls[[#This Row],[Date of Call]])+1)</f>
        <v>2025</v>
      </c>
      <c r="J461" t="str">
        <f>TEXT(calls[[#This Row],[Date of Call]],"DDDD")</f>
        <v>Thursday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45785</v>
      </c>
      <c r="G462">
        <v>87</v>
      </c>
      <c r="H462">
        <v>3.6</v>
      </c>
      <c r="I462">
        <f>IF(MONTH(calls[[#This Row],[Date of Call]])&lt;=6, YEAR(calls[[#This Row],[Date of Call]]), YEAR(calls[[#This Row],[Date of Call]])+1)</f>
        <v>2025</v>
      </c>
      <c r="J462" t="str">
        <f>TEXT(calls[[#This Row],[Date of Call]],"DDDD")</f>
        <v>Thursday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45785</v>
      </c>
      <c r="G463">
        <v>52</v>
      </c>
      <c r="H463">
        <v>3.8</v>
      </c>
      <c r="I463">
        <f>IF(MONTH(calls[[#This Row],[Date of Call]])&lt;=6, YEAR(calls[[#This Row],[Date of Call]]), YEAR(calls[[#This Row],[Date of Call]])+1)</f>
        <v>2025</v>
      </c>
      <c r="J463" t="str">
        <f>TEXT(calls[[#This Row],[Date of Call]],"DDDD")</f>
        <v>Thursday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45785</v>
      </c>
      <c r="G464">
        <v>63</v>
      </c>
      <c r="H464">
        <v>3.5</v>
      </c>
      <c r="I464">
        <f>IF(MONTH(calls[[#This Row],[Date of Call]])&lt;=6, YEAR(calls[[#This Row],[Date of Call]]), YEAR(calls[[#This Row],[Date of Call]])+1)</f>
        <v>2025</v>
      </c>
      <c r="J464" t="str">
        <f>TEXT(calls[[#This Row],[Date of Call]],"DDDD")</f>
        <v>Thursday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45786</v>
      </c>
      <c r="G465">
        <v>195</v>
      </c>
      <c r="H465">
        <v>4.8</v>
      </c>
      <c r="I465">
        <f>IF(MONTH(calls[[#This Row],[Date of Call]])&lt;=6, YEAR(calls[[#This Row],[Date of Call]]), YEAR(calls[[#This Row],[Date of Call]])+1)</f>
        <v>2025</v>
      </c>
      <c r="J465" t="str">
        <f>TEXT(calls[[#This Row],[Date of Call]],"DDDD")</f>
        <v>Friday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45787</v>
      </c>
      <c r="G466">
        <v>176</v>
      </c>
      <c r="H466">
        <v>4.5</v>
      </c>
      <c r="I466">
        <f>IF(MONTH(calls[[#This Row],[Date of Call]])&lt;=6, YEAR(calls[[#This Row],[Date of Call]]), YEAR(calls[[#This Row],[Date of Call]])+1)</f>
        <v>2025</v>
      </c>
      <c r="J466" t="str">
        <f>TEXT(calls[[#This Row],[Date of Call]],"DDDD")</f>
        <v>Saturday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45788</v>
      </c>
      <c r="G467">
        <v>31</v>
      </c>
      <c r="H467">
        <v>3.3</v>
      </c>
      <c r="I467">
        <f>IF(MONTH(calls[[#This Row],[Date of Call]])&lt;=6, YEAR(calls[[#This Row],[Date of Call]]), YEAR(calls[[#This Row],[Date of Call]])+1)</f>
        <v>2025</v>
      </c>
      <c r="J467" t="str">
        <f>TEXT(calls[[#This Row],[Date of Call]],"DDDD")</f>
        <v>Sunday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45789</v>
      </c>
      <c r="G468">
        <v>27</v>
      </c>
      <c r="H468">
        <v>3.2</v>
      </c>
      <c r="I468">
        <f>IF(MONTH(calls[[#This Row],[Date of Call]])&lt;=6, YEAR(calls[[#This Row],[Date of Call]]), YEAR(calls[[#This Row],[Date of Call]])+1)</f>
        <v>2025</v>
      </c>
      <c r="J468" t="str">
        <f>TEXT(calls[[#This Row],[Date of Call]],"DDDD")</f>
        <v>Monday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45789</v>
      </c>
      <c r="G469">
        <v>76</v>
      </c>
      <c r="H469">
        <v>4.9000000000000004</v>
      </c>
      <c r="I469">
        <f>IF(MONTH(calls[[#This Row],[Date of Call]])&lt;=6, YEAR(calls[[#This Row],[Date of Call]]), YEAR(calls[[#This Row],[Date of Call]])+1)</f>
        <v>2025</v>
      </c>
      <c r="J469" t="str">
        <f>TEXT(calls[[#This Row],[Date of Call]],"DDDD")</f>
        <v>Monday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45789</v>
      </c>
      <c r="G470">
        <v>62</v>
      </c>
      <c r="H470">
        <v>4.8</v>
      </c>
      <c r="I470">
        <f>IF(MONTH(calls[[#This Row],[Date of Call]])&lt;=6, YEAR(calls[[#This Row],[Date of Call]]), YEAR(calls[[#This Row],[Date of Call]])+1)</f>
        <v>2025</v>
      </c>
      <c r="J470" t="str">
        <f>TEXT(calls[[#This Row],[Date of Call]],"DDDD")</f>
        <v>Monday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45791</v>
      </c>
      <c r="G471">
        <v>100</v>
      </c>
      <c r="H471">
        <v>1.3</v>
      </c>
      <c r="I471">
        <f>IF(MONTH(calls[[#This Row],[Date of Call]])&lt;=6, YEAR(calls[[#This Row],[Date of Call]]), YEAR(calls[[#This Row],[Date of Call]])+1)</f>
        <v>2025</v>
      </c>
      <c r="J471" t="str">
        <f>TEXT(calls[[#This Row],[Date of Call]],"DDDD")</f>
        <v>Wednesday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45791</v>
      </c>
      <c r="G472">
        <v>44</v>
      </c>
      <c r="H472">
        <v>3.1</v>
      </c>
      <c r="I472">
        <f>IF(MONTH(calls[[#This Row],[Date of Call]])&lt;=6, YEAR(calls[[#This Row],[Date of Call]]), YEAR(calls[[#This Row],[Date of Call]])+1)</f>
        <v>2025</v>
      </c>
      <c r="J472" t="str">
        <f>TEXT(calls[[#This Row],[Date of Call]],"DDDD")</f>
        <v>Wednesday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45791</v>
      </c>
      <c r="G473">
        <v>168</v>
      </c>
      <c r="H473">
        <v>3.4</v>
      </c>
      <c r="I473">
        <f>IF(MONTH(calls[[#This Row],[Date of Call]])&lt;=6, YEAR(calls[[#This Row],[Date of Call]]), YEAR(calls[[#This Row],[Date of Call]])+1)</f>
        <v>2025</v>
      </c>
      <c r="J473" t="str">
        <f>TEXT(calls[[#This Row],[Date of Call]],"DDDD")</f>
        <v>Wednesday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45792</v>
      </c>
      <c r="G474">
        <v>200</v>
      </c>
      <c r="H474">
        <v>4.5999999999999996</v>
      </c>
      <c r="I474">
        <f>IF(MONTH(calls[[#This Row],[Date of Call]])&lt;=6, YEAR(calls[[#This Row],[Date of Call]]), YEAR(calls[[#This Row],[Date of Call]])+1)</f>
        <v>2025</v>
      </c>
      <c r="J474" t="str">
        <f>TEXT(calls[[#This Row],[Date of Call]],"DDDD")</f>
        <v>Thursday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45792</v>
      </c>
      <c r="G475">
        <v>84</v>
      </c>
      <c r="H475">
        <v>4.3</v>
      </c>
      <c r="I475">
        <f>IF(MONTH(calls[[#This Row],[Date of Call]])&lt;=6, YEAR(calls[[#This Row],[Date of Call]]), YEAR(calls[[#This Row],[Date of Call]])+1)</f>
        <v>2025</v>
      </c>
      <c r="J475" t="str">
        <f>TEXT(calls[[#This Row],[Date of Call]],"DDDD")</f>
        <v>Thursday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45793</v>
      </c>
      <c r="G476">
        <v>117</v>
      </c>
      <c r="H476">
        <v>2.7</v>
      </c>
      <c r="I476">
        <f>IF(MONTH(calls[[#This Row],[Date of Call]])&lt;=6, YEAR(calls[[#This Row],[Date of Call]]), YEAR(calls[[#This Row],[Date of Call]])+1)</f>
        <v>2025</v>
      </c>
      <c r="J476" t="str">
        <f>TEXT(calls[[#This Row],[Date of Call]],"DDDD")</f>
        <v>Friday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45793</v>
      </c>
      <c r="G477">
        <v>63</v>
      </c>
      <c r="H477">
        <v>4.2</v>
      </c>
      <c r="I477">
        <f>IF(MONTH(calls[[#This Row],[Date of Call]])&lt;=6, YEAR(calls[[#This Row],[Date of Call]]), YEAR(calls[[#This Row],[Date of Call]])+1)</f>
        <v>2025</v>
      </c>
      <c r="J477" t="str">
        <f>TEXT(calls[[#This Row],[Date of Call]],"DDDD")</f>
        <v>Friday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45794</v>
      </c>
      <c r="G478">
        <v>145</v>
      </c>
      <c r="H478">
        <v>4.9000000000000004</v>
      </c>
      <c r="I478">
        <f>IF(MONTH(calls[[#This Row],[Date of Call]])&lt;=6, YEAR(calls[[#This Row],[Date of Call]]), YEAR(calls[[#This Row],[Date of Call]])+1)</f>
        <v>2025</v>
      </c>
      <c r="J478" t="str">
        <f>TEXT(calls[[#This Row],[Date of Call]],"DDDD")</f>
        <v>Saturday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45794</v>
      </c>
      <c r="G479">
        <v>220</v>
      </c>
      <c r="H479">
        <v>3.2</v>
      </c>
      <c r="I479">
        <f>IF(MONTH(calls[[#This Row],[Date of Call]])&lt;=6, YEAR(calls[[#This Row],[Date of Call]]), YEAR(calls[[#This Row],[Date of Call]])+1)</f>
        <v>2025</v>
      </c>
      <c r="J479" t="str">
        <f>TEXT(calls[[#This Row],[Date of Call]],"DDDD")</f>
        <v>Saturday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45794</v>
      </c>
      <c r="G480">
        <v>26</v>
      </c>
      <c r="H480">
        <v>4.7</v>
      </c>
      <c r="I480">
        <f>IF(MONTH(calls[[#This Row],[Date of Call]])&lt;=6, YEAR(calls[[#This Row],[Date of Call]]), YEAR(calls[[#This Row],[Date of Call]])+1)</f>
        <v>2025</v>
      </c>
      <c r="J480" t="str">
        <f>TEXT(calls[[#This Row],[Date of Call]],"DDDD")</f>
        <v>Saturday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45794</v>
      </c>
      <c r="G481">
        <v>78</v>
      </c>
      <c r="H481">
        <v>4.3</v>
      </c>
      <c r="I481">
        <f>IF(MONTH(calls[[#This Row],[Date of Call]])&lt;=6, YEAR(calls[[#This Row],[Date of Call]]), YEAR(calls[[#This Row],[Date of Call]])+1)</f>
        <v>2025</v>
      </c>
      <c r="J481" t="str">
        <f>TEXT(calls[[#This Row],[Date of Call]],"DDDD")</f>
        <v>Saturday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45795</v>
      </c>
      <c r="G482">
        <v>132</v>
      </c>
      <c r="H482">
        <v>4.3</v>
      </c>
      <c r="I482">
        <f>IF(MONTH(calls[[#This Row],[Date of Call]])&lt;=6, YEAR(calls[[#This Row],[Date of Call]]), YEAR(calls[[#This Row],[Date of Call]])+1)</f>
        <v>2025</v>
      </c>
      <c r="J482" t="str">
        <f>TEXT(calls[[#This Row],[Date of Call]],"DDDD")</f>
        <v>Sunday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45796</v>
      </c>
      <c r="G483">
        <v>68</v>
      </c>
      <c r="H483">
        <v>3.7</v>
      </c>
      <c r="I483">
        <f>IF(MONTH(calls[[#This Row],[Date of Call]])&lt;=6, YEAR(calls[[#This Row],[Date of Call]]), YEAR(calls[[#This Row],[Date of Call]])+1)</f>
        <v>2025</v>
      </c>
      <c r="J483" t="str">
        <f>TEXT(calls[[#This Row],[Date of Call]],"DDDD")</f>
        <v>Monday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45798</v>
      </c>
      <c r="G484">
        <v>129</v>
      </c>
      <c r="H484">
        <v>4.7</v>
      </c>
      <c r="I484">
        <f>IF(MONTH(calls[[#This Row],[Date of Call]])&lt;=6, YEAR(calls[[#This Row],[Date of Call]]), YEAR(calls[[#This Row],[Date of Call]])+1)</f>
        <v>2025</v>
      </c>
      <c r="J484" t="str">
        <f>TEXT(calls[[#This Row],[Date of Call]],"DDDD")</f>
        <v>Wednesday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45798</v>
      </c>
      <c r="G485">
        <v>115</v>
      </c>
      <c r="H485">
        <v>4.9000000000000004</v>
      </c>
      <c r="I485">
        <f>IF(MONTH(calls[[#This Row],[Date of Call]])&lt;=6, YEAR(calls[[#This Row],[Date of Call]]), YEAR(calls[[#This Row],[Date of Call]])+1)</f>
        <v>2025</v>
      </c>
      <c r="J485" t="str">
        <f>TEXT(calls[[#This Row],[Date of Call]],"DDDD")</f>
        <v>Wednesday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45798</v>
      </c>
      <c r="G486">
        <v>128</v>
      </c>
      <c r="H486">
        <v>3.9</v>
      </c>
      <c r="I486">
        <f>IF(MONTH(calls[[#This Row],[Date of Call]])&lt;=6, YEAR(calls[[#This Row],[Date of Call]]), YEAR(calls[[#This Row],[Date of Call]])+1)</f>
        <v>2025</v>
      </c>
      <c r="J486" t="str">
        <f>TEXT(calls[[#This Row],[Date of Call]],"DDDD")</f>
        <v>Wednesday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45798</v>
      </c>
      <c r="G487">
        <v>90</v>
      </c>
      <c r="H487">
        <v>4.5</v>
      </c>
      <c r="I487">
        <f>IF(MONTH(calls[[#This Row],[Date of Call]])&lt;=6, YEAR(calls[[#This Row],[Date of Call]]), YEAR(calls[[#This Row],[Date of Call]])+1)</f>
        <v>2025</v>
      </c>
      <c r="J487" t="str">
        <f>TEXT(calls[[#This Row],[Date of Call]],"DDDD")</f>
        <v>Wednesday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45799</v>
      </c>
      <c r="G488">
        <v>39</v>
      </c>
      <c r="H488">
        <v>4.5999999999999996</v>
      </c>
      <c r="I488">
        <f>IF(MONTH(calls[[#This Row],[Date of Call]])&lt;=6, YEAR(calls[[#This Row],[Date of Call]]), YEAR(calls[[#This Row],[Date of Call]])+1)</f>
        <v>2025</v>
      </c>
      <c r="J488" t="str">
        <f>TEXT(calls[[#This Row],[Date of Call]],"DDDD")</f>
        <v>Thursday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45799</v>
      </c>
      <c r="G489">
        <v>132</v>
      </c>
      <c r="H489">
        <v>3.3</v>
      </c>
      <c r="I489">
        <f>IF(MONTH(calls[[#This Row],[Date of Call]])&lt;=6, YEAR(calls[[#This Row],[Date of Call]]), YEAR(calls[[#This Row],[Date of Call]])+1)</f>
        <v>2025</v>
      </c>
      <c r="J489" t="str">
        <f>TEXT(calls[[#This Row],[Date of Call]],"DDDD")</f>
        <v>Thursday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45799</v>
      </c>
      <c r="G490">
        <v>170</v>
      </c>
      <c r="H490">
        <v>3.8</v>
      </c>
      <c r="I490">
        <f>IF(MONTH(calls[[#This Row],[Date of Call]])&lt;=6, YEAR(calls[[#This Row],[Date of Call]]), YEAR(calls[[#This Row],[Date of Call]])+1)</f>
        <v>2025</v>
      </c>
      <c r="J490" t="str">
        <f>TEXT(calls[[#This Row],[Date of Call]],"DDDD")</f>
        <v>Thursday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45799</v>
      </c>
      <c r="G491">
        <v>42</v>
      </c>
      <c r="H491">
        <v>4.7</v>
      </c>
      <c r="I491">
        <f>IF(MONTH(calls[[#This Row],[Date of Call]])&lt;=6, YEAR(calls[[#This Row],[Date of Call]]), YEAR(calls[[#This Row],[Date of Call]])+1)</f>
        <v>2025</v>
      </c>
      <c r="J491" t="str">
        <f>TEXT(calls[[#This Row],[Date of Call]],"DDDD")</f>
        <v>Thursday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45802</v>
      </c>
      <c r="G492">
        <v>37</v>
      </c>
      <c r="H492">
        <v>4</v>
      </c>
      <c r="I492">
        <f>IF(MONTH(calls[[#This Row],[Date of Call]])&lt;=6, YEAR(calls[[#This Row],[Date of Call]]), YEAR(calls[[#This Row],[Date of Call]])+1)</f>
        <v>2025</v>
      </c>
      <c r="J492" t="str">
        <f>TEXT(calls[[#This Row],[Date of Call]],"DDDD")</f>
        <v>Sunday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45802</v>
      </c>
      <c r="G493">
        <v>88</v>
      </c>
      <c r="H493">
        <v>4.7</v>
      </c>
      <c r="I493">
        <f>IF(MONTH(calls[[#This Row],[Date of Call]])&lt;=6, YEAR(calls[[#This Row],[Date of Call]]), YEAR(calls[[#This Row],[Date of Call]])+1)</f>
        <v>2025</v>
      </c>
      <c r="J493" t="str">
        <f>TEXT(calls[[#This Row],[Date of Call]],"DDDD")</f>
        <v>Sunday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45802</v>
      </c>
      <c r="G494">
        <v>80</v>
      </c>
      <c r="H494">
        <v>2.5</v>
      </c>
      <c r="I494">
        <f>IF(MONTH(calls[[#This Row],[Date of Call]])&lt;=6, YEAR(calls[[#This Row],[Date of Call]]), YEAR(calls[[#This Row],[Date of Call]])+1)</f>
        <v>2025</v>
      </c>
      <c r="J494" t="str">
        <f>TEXT(calls[[#This Row],[Date of Call]],"DDDD")</f>
        <v>Sunday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45801</v>
      </c>
      <c r="G495">
        <v>123</v>
      </c>
      <c r="H495">
        <v>3.6</v>
      </c>
      <c r="I495">
        <f>IF(MONTH(calls[[#This Row],[Date of Call]])&lt;=6, YEAR(calls[[#This Row],[Date of Call]]), YEAR(calls[[#This Row],[Date of Call]])+1)</f>
        <v>2025</v>
      </c>
      <c r="J495" t="str">
        <f>TEXT(calls[[#This Row],[Date of Call]],"DDDD")</f>
        <v>Saturday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45801</v>
      </c>
      <c r="G496">
        <v>31</v>
      </c>
      <c r="H496">
        <v>3.7</v>
      </c>
      <c r="I496">
        <f>IF(MONTH(calls[[#This Row],[Date of Call]])&lt;=6, YEAR(calls[[#This Row],[Date of Call]]), YEAR(calls[[#This Row],[Date of Call]])+1)</f>
        <v>2025</v>
      </c>
      <c r="J496" t="str">
        <f>TEXT(calls[[#This Row],[Date of Call]],"DDDD")</f>
        <v>Saturday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45801</v>
      </c>
      <c r="G497">
        <v>205</v>
      </c>
      <c r="H497">
        <v>3.9</v>
      </c>
      <c r="I497">
        <f>IF(MONTH(calls[[#This Row],[Date of Call]])&lt;=6, YEAR(calls[[#This Row],[Date of Call]]), YEAR(calls[[#This Row],[Date of Call]])+1)</f>
        <v>2025</v>
      </c>
      <c r="J497" t="str">
        <f>TEXT(calls[[#This Row],[Date of Call]],"DDDD")</f>
        <v>Saturday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45802</v>
      </c>
      <c r="G498">
        <v>123</v>
      </c>
      <c r="H498">
        <v>3.7</v>
      </c>
      <c r="I498">
        <f>IF(MONTH(calls[[#This Row],[Date of Call]])&lt;=6, YEAR(calls[[#This Row],[Date of Call]]), YEAR(calls[[#This Row],[Date of Call]])+1)</f>
        <v>2025</v>
      </c>
      <c r="J498" t="str">
        <f>TEXT(calls[[#This Row],[Date of Call]],"DDDD")</f>
        <v>Sunday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45802</v>
      </c>
      <c r="G499">
        <v>123</v>
      </c>
      <c r="H499">
        <v>4.3</v>
      </c>
      <c r="I499">
        <f>IF(MONTH(calls[[#This Row],[Date of Call]])&lt;=6, YEAR(calls[[#This Row],[Date of Call]]), YEAR(calls[[#This Row],[Date of Call]])+1)</f>
        <v>2025</v>
      </c>
      <c r="J499" t="str">
        <f>TEXT(calls[[#This Row],[Date of Call]],"DDDD")</f>
        <v>Sunday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45802</v>
      </c>
      <c r="G500">
        <v>36</v>
      </c>
      <c r="H500">
        <v>2.9</v>
      </c>
      <c r="I500">
        <f>IF(MONTH(calls[[#This Row],[Date of Call]])&lt;=6, YEAR(calls[[#This Row],[Date of Call]]), YEAR(calls[[#This Row],[Date of Call]])+1)</f>
        <v>2025</v>
      </c>
      <c r="J500" t="str">
        <f>TEXT(calls[[#This Row],[Date of Call]],"DDDD")</f>
        <v>Sunday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45802</v>
      </c>
      <c r="G501">
        <v>116</v>
      </c>
      <c r="H501">
        <v>4.3</v>
      </c>
      <c r="I501">
        <f>IF(MONTH(calls[[#This Row],[Date of Call]])&lt;=6, YEAR(calls[[#This Row],[Date of Call]]), YEAR(calls[[#This Row],[Date of Call]])+1)</f>
        <v>2025</v>
      </c>
      <c r="J501" t="str">
        <f>TEXT(calls[[#This Row],[Date of Call]],"DDDD")</f>
        <v>Sunday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45802</v>
      </c>
      <c r="G502">
        <v>40</v>
      </c>
      <c r="H502">
        <v>4.9000000000000004</v>
      </c>
      <c r="I502">
        <f>IF(MONTH(calls[[#This Row],[Date of Call]])&lt;=6, YEAR(calls[[#This Row],[Date of Call]]), YEAR(calls[[#This Row],[Date of Call]])+1)</f>
        <v>2025</v>
      </c>
      <c r="J502" t="str">
        <f>TEXT(calls[[#This Row],[Date of Call]],"DDDD")</f>
        <v>Sunday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45802</v>
      </c>
      <c r="G503">
        <v>40</v>
      </c>
      <c r="H503">
        <v>4</v>
      </c>
      <c r="I503">
        <f>IF(MONTH(calls[[#This Row],[Date of Call]])&lt;=6, YEAR(calls[[#This Row],[Date of Call]]), YEAR(calls[[#This Row],[Date of Call]])+1)</f>
        <v>2025</v>
      </c>
      <c r="J503" t="str">
        <f>TEXT(calls[[#This Row],[Date of Call]],"DDDD")</f>
        <v>Sunday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45803</v>
      </c>
      <c r="G504">
        <v>82</v>
      </c>
      <c r="H504">
        <v>4</v>
      </c>
      <c r="I504">
        <f>IF(MONTH(calls[[#This Row],[Date of Call]])&lt;=6, YEAR(calls[[#This Row],[Date of Call]]), YEAR(calls[[#This Row],[Date of Call]])+1)</f>
        <v>2025</v>
      </c>
      <c r="J504" t="str">
        <f>TEXT(calls[[#This Row],[Date of Call]],"DDDD")</f>
        <v>Monday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45803</v>
      </c>
      <c r="G505">
        <v>62</v>
      </c>
      <c r="H505">
        <v>3.4</v>
      </c>
      <c r="I505">
        <f>IF(MONTH(calls[[#This Row],[Date of Call]])&lt;=6, YEAR(calls[[#This Row],[Date of Call]]), YEAR(calls[[#This Row],[Date of Call]])+1)</f>
        <v>2025</v>
      </c>
      <c r="J505" t="str">
        <f>TEXT(calls[[#This Row],[Date of Call]],"DDDD")</f>
        <v>Monday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45803</v>
      </c>
      <c r="G506">
        <v>135</v>
      </c>
      <c r="H506">
        <v>3.9</v>
      </c>
      <c r="I506">
        <f>IF(MONTH(calls[[#This Row],[Date of Call]])&lt;=6, YEAR(calls[[#This Row],[Date of Call]]), YEAR(calls[[#This Row],[Date of Call]])+1)</f>
        <v>2025</v>
      </c>
      <c r="J506" t="str">
        <f>TEXT(calls[[#This Row],[Date of Call]],"DDDD")</f>
        <v>Monday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45803</v>
      </c>
      <c r="G507">
        <v>155</v>
      </c>
      <c r="H507">
        <v>2.1</v>
      </c>
      <c r="I507">
        <f>IF(MONTH(calls[[#This Row],[Date of Call]])&lt;=6, YEAR(calls[[#This Row],[Date of Call]]), YEAR(calls[[#This Row],[Date of Call]])+1)</f>
        <v>2025</v>
      </c>
      <c r="J507" t="str">
        <f>TEXT(calls[[#This Row],[Date of Call]],"DDDD")</f>
        <v>Monday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45803</v>
      </c>
      <c r="G508">
        <v>37</v>
      </c>
      <c r="H508">
        <v>4.9000000000000004</v>
      </c>
      <c r="I508">
        <f>IF(MONTH(calls[[#This Row],[Date of Call]])&lt;=6, YEAR(calls[[#This Row],[Date of Call]]), YEAR(calls[[#This Row],[Date of Call]])+1)</f>
        <v>2025</v>
      </c>
      <c r="J508" t="str">
        <f>TEXT(calls[[#This Row],[Date of Call]],"DDDD")</f>
        <v>Monday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45804</v>
      </c>
      <c r="G509">
        <v>56</v>
      </c>
      <c r="H509">
        <v>3.4</v>
      </c>
      <c r="I509">
        <f>IF(MONTH(calls[[#This Row],[Date of Call]])&lt;=6, YEAR(calls[[#This Row],[Date of Call]]), YEAR(calls[[#This Row],[Date of Call]])+1)</f>
        <v>2025</v>
      </c>
      <c r="J509" t="str">
        <f>TEXT(calls[[#This Row],[Date of Call]],"DDDD")</f>
        <v>Tuesday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45804</v>
      </c>
      <c r="G510">
        <v>185</v>
      </c>
      <c r="H510">
        <v>5</v>
      </c>
      <c r="I510">
        <f>IF(MONTH(calls[[#This Row],[Date of Call]])&lt;=6, YEAR(calls[[#This Row],[Date of Call]]), YEAR(calls[[#This Row],[Date of Call]])+1)</f>
        <v>2025</v>
      </c>
      <c r="J510" t="str">
        <f>TEXT(calls[[#This Row],[Date of Call]],"DDDD")</f>
        <v>Tuesday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45805</v>
      </c>
      <c r="G511">
        <v>145</v>
      </c>
      <c r="H511">
        <v>4.5</v>
      </c>
      <c r="I511">
        <f>IF(MONTH(calls[[#This Row],[Date of Call]])&lt;=6, YEAR(calls[[#This Row],[Date of Call]]), YEAR(calls[[#This Row],[Date of Call]])+1)</f>
        <v>2025</v>
      </c>
      <c r="J511" t="str">
        <f>TEXT(calls[[#This Row],[Date of Call]],"DDDD")</f>
        <v>Wednesday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45805</v>
      </c>
      <c r="G512">
        <v>116</v>
      </c>
      <c r="H512">
        <v>2.6</v>
      </c>
      <c r="I512">
        <f>IF(MONTH(calls[[#This Row],[Date of Call]])&lt;=6, YEAR(calls[[#This Row],[Date of Call]]), YEAR(calls[[#This Row],[Date of Call]])+1)</f>
        <v>2025</v>
      </c>
      <c r="J512" t="str">
        <f>TEXT(calls[[#This Row],[Date of Call]],"DDDD")</f>
        <v>Wednesday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45805</v>
      </c>
      <c r="G513">
        <v>45</v>
      </c>
      <c r="H513">
        <v>4.2</v>
      </c>
      <c r="I513">
        <f>IF(MONTH(calls[[#This Row],[Date of Call]])&lt;=6, YEAR(calls[[#This Row],[Date of Call]]), YEAR(calls[[#This Row],[Date of Call]])+1)</f>
        <v>2025</v>
      </c>
      <c r="J513" t="str">
        <f>TEXT(calls[[#This Row],[Date of Call]],"DDDD")</f>
        <v>Wednesday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45806</v>
      </c>
      <c r="G514">
        <v>35</v>
      </c>
      <c r="H514">
        <v>4.5</v>
      </c>
      <c r="I514">
        <f>IF(MONTH(calls[[#This Row],[Date of Call]])&lt;=6, YEAR(calls[[#This Row],[Date of Call]]), YEAR(calls[[#This Row],[Date of Call]])+1)</f>
        <v>2025</v>
      </c>
      <c r="J514" t="str">
        <f>TEXT(calls[[#This Row],[Date of Call]],"DDDD")</f>
        <v>Thursday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45806</v>
      </c>
      <c r="G515">
        <v>100</v>
      </c>
      <c r="H515">
        <v>4.4000000000000004</v>
      </c>
      <c r="I515">
        <f>IF(MONTH(calls[[#This Row],[Date of Call]])&lt;=6, YEAR(calls[[#This Row],[Date of Call]]), YEAR(calls[[#This Row],[Date of Call]])+1)</f>
        <v>2025</v>
      </c>
      <c r="J515" t="str">
        <f>TEXT(calls[[#This Row],[Date of Call]],"DDDD")</f>
        <v>Thursday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45807</v>
      </c>
      <c r="G516">
        <v>125</v>
      </c>
      <c r="H516">
        <v>3.5</v>
      </c>
      <c r="I516">
        <f>IF(MONTH(calls[[#This Row],[Date of Call]])&lt;=6, YEAR(calls[[#This Row],[Date of Call]]), YEAR(calls[[#This Row],[Date of Call]])+1)</f>
        <v>2025</v>
      </c>
      <c r="J516" t="str">
        <f>TEXT(calls[[#This Row],[Date of Call]],"DDDD")</f>
        <v>Friday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45807</v>
      </c>
      <c r="G517">
        <v>120</v>
      </c>
      <c r="H517">
        <v>3</v>
      </c>
      <c r="I517">
        <f>IF(MONTH(calls[[#This Row],[Date of Call]])&lt;=6, YEAR(calls[[#This Row],[Date of Call]]), YEAR(calls[[#This Row],[Date of Call]])+1)</f>
        <v>2025</v>
      </c>
      <c r="J517" t="str">
        <f>TEXT(calls[[#This Row],[Date of Call]],"DDDD")</f>
        <v>Friday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45807</v>
      </c>
      <c r="G518">
        <v>180</v>
      </c>
      <c r="H518">
        <v>4.7</v>
      </c>
      <c r="I518">
        <f>IF(MONTH(calls[[#This Row],[Date of Call]])&lt;=6, YEAR(calls[[#This Row],[Date of Call]]), YEAR(calls[[#This Row],[Date of Call]])+1)</f>
        <v>2025</v>
      </c>
      <c r="J518" t="str">
        <f>TEXT(calls[[#This Row],[Date of Call]],"DDDD")</f>
        <v>Friday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45807</v>
      </c>
      <c r="G519">
        <v>44</v>
      </c>
      <c r="H519">
        <v>3</v>
      </c>
      <c r="I519">
        <f>IF(MONTH(calls[[#This Row],[Date of Call]])&lt;=6, YEAR(calls[[#This Row],[Date of Call]]), YEAR(calls[[#This Row],[Date of Call]])+1)</f>
        <v>2025</v>
      </c>
      <c r="J519" t="str">
        <f>TEXT(calls[[#This Row],[Date of Call]],"DDDD")</f>
        <v>Friday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45807</v>
      </c>
      <c r="G520">
        <v>86</v>
      </c>
      <c r="H520">
        <v>3.6</v>
      </c>
      <c r="I520">
        <f>IF(MONTH(calls[[#This Row],[Date of Call]])&lt;=6, YEAR(calls[[#This Row],[Date of Call]]), YEAR(calls[[#This Row],[Date of Call]])+1)</f>
        <v>2025</v>
      </c>
      <c r="J520" t="str">
        <f>TEXT(calls[[#This Row],[Date of Call]],"DDDD")</f>
        <v>Friday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45808</v>
      </c>
      <c r="G521">
        <v>120</v>
      </c>
      <c r="H521">
        <v>4.0999999999999996</v>
      </c>
      <c r="I521">
        <f>IF(MONTH(calls[[#This Row],[Date of Call]])&lt;=6, YEAR(calls[[#This Row],[Date of Call]]), YEAR(calls[[#This Row],[Date of Call]])+1)</f>
        <v>2025</v>
      </c>
      <c r="J521" t="str">
        <f>TEXT(calls[[#This Row],[Date of Call]],"DDDD")</f>
        <v>Saturday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45808</v>
      </c>
      <c r="G522">
        <v>100</v>
      </c>
      <c r="H522">
        <v>3.7</v>
      </c>
      <c r="I522">
        <f>IF(MONTH(calls[[#This Row],[Date of Call]])&lt;=6, YEAR(calls[[#This Row],[Date of Call]]), YEAR(calls[[#This Row],[Date of Call]])+1)</f>
        <v>2025</v>
      </c>
      <c r="J522" t="str">
        <f>TEXT(calls[[#This Row],[Date of Call]],"DDDD")</f>
        <v>Saturday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45809</v>
      </c>
      <c r="G523">
        <v>108</v>
      </c>
      <c r="H523">
        <v>4.5</v>
      </c>
      <c r="I523">
        <f>IF(MONTH(calls[[#This Row],[Date of Call]])&lt;=6, YEAR(calls[[#This Row],[Date of Call]]), YEAR(calls[[#This Row],[Date of Call]])+1)</f>
        <v>2025</v>
      </c>
      <c r="J523" t="str">
        <f>TEXT(calls[[#This Row],[Date of Call]],"DDDD")</f>
        <v>Sunday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45809</v>
      </c>
      <c r="G524">
        <v>46</v>
      </c>
      <c r="H524">
        <v>4.5999999999999996</v>
      </c>
      <c r="I524">
        <f>IF(MONTH(calls[[#This Row],[Date of Call]])&lt;=6, YEAR(calls[[#This Row],[Date of Call]]), YEAR(calls[[#This Row],[Date of Call]])+1)</f>
        <v>2025</v>
      </c>
      <c r="J524" t="str">
        <f>TEXT(calls[[#This Row],[Date of Call]],"DDDD")</f>
        <v>Sunday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45809</v>
      </c>
      <c r="G525">
        <v>210</v>
      </c>
      <c r="H525">
        <v>4.3</v>
      </c>
      <c r="I525">
        <f>IF(MONTH(calls[[#This Row],[Date of Call]])&lt;=6, YEAR(calls[[#This Row],[Date of Call]]), YEAR(calls[[#This Row],[Date of Call]])+1)</f>
        <v>2025</v>
      </c>
      <c r="J525" t="str">
        <f>TEXT(calls[[#This Row],[Date of Call]],"DDDD")</f>
        <v>Sunday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45811</v>
      </c>
      <c r="G526">
        <v>54</v>
      </c>
      <c r="H526">
        <v>4.8</v>
      </c>
      <c r="I526">
        <f>IF(MONTH(calls[[#This Row],[Date of Call]])&lt;=6, YEAR(calls[[#This Row],[Date of Call]]), YEAR(calls[[#This Row],[Date of Call]])+1)</f>
        <v>2025</v>
      </c>
      <c r="J526" t="str">
        <f>TEXT(calls[[#This Row],[Date of Call]],"DDDD")</f>
        <v>Tuesday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45811</v>
      </c>
      <c r="G527">
        <v>115</v>
      </c>
      <c r="H527">
        <v>4.7</v>
      </c>
      <c r="I527">
        <f>IF(MONTH(calls[[#This Row],[Date of Call]])&lt;=6, YEAR(calls[[#This Row],[Date of Call]]), YEAR(calls[[#This Row],[Date of Call]])+1)</f>
        <v>2025</v>
      </c>
      <c r="J527" t="str">
        <f>TEXT(calls[[#This Row],[Date of Call]],"DDDD")</f>
        <v>Tuesday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45812</v>
      </c>
      <c r="G528">
        <v>100</v>
      </c>
      <c r="H528">
        <v>2.2000000000000002</v>
      </c>
      <c r="I528">
        <f>IF(MONTH(calls[[#This Row],[Date of Call]])&lt;=6, YEAR(calls[[#This Row],[Date of Call]]), YEAR(calls[[#This Row],[Date of Call]])+1)</f>
        <v>2025</v>
      </c>
      <c r="J528" t="str">
        <f>TEXT(calls[[#This Row],[Date of Call]],"DDDD")</f>
        <v>Wednesday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45812</v>
      </c>
      <c r="G529">
        <v>38</v>
      </c>
      <c r="H529">
        <v>4.4000000000000004</v>
      </c>
      <c r="I529">
        <f>IF(MONTH(calls[[#This Row],[Date of Call]])&lt;=6, YEAR(calls[[#This Row],[Date of Call]]), YEAR(calls[[#This Row],[Date of Call]])+1)</f>
        <v>2025</v>
      </c>
      <c r="J529" t="str">
        <f>TEXT(calls[[#This Row],[Date of Call]],"DDDD")</f>
        <v>Wednesday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45813</v>
      </c>
      <c r="G530">
        <v>120</v>
      </c>
      <c r="H530">
        <v>4.0999999999999996</v>
      </c>
      <c r="I530">
        <f>IF(MONTH(calls[[#This Row],[Date of Call]])&lt;=6, YEAR(calls[[#This Row],[Date of Call]]), YEAR(calls[[#This Row],[Date of Call]])+1)</f>
        <v>2025</v>
      </c>
      <c r="J530" t="str">
        <f>TEXT(calls[[#This Row],[Date of Call]],"DDDD")</f>
        <v>Thursday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45813</v>
      </c>
      <c r="G531">
        <v>120</v>
      </c>
      <c r="H531">
        <v>4.0999999999999996</v>
      </c>
      <c r="I531">
        <f>IF(MONTH(calls[[#This Row],[Date of Call]])&lt;=6, YEAR(calls[[#This Row],[Date of Call]]), YEAR(calls[[#This Row],[Date of Call]])+1)</f>
        <v>2025</v>
      </c>
      <c r="J531" t="str">
        <f>TEXT(calls[[#This Row],[Date of Call]],"DDDD")</f>
        <v>Thursday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45813</v>
      </c>
      <c r="G532">
        <v>29</v>
      </c>
      <c r="H532">
        <v>4.4000000000000004</v>
      </c>
      <c r="I532">
        <f>IF(MONTH(calls[[#This Row],[Date of Call]])&lt;=6, YEAR(calls[[#This Row],[Date of Call]]), YEAR(calls[[#This Row],[Date of Call]])+1)</f>
        <v>2025</v>
      </c>
      <c r="J532" t="str">
        <f>TEXT(calls[[#This Row],[Date of Call]],"DDDD")</f>
        <v>Thursday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45814</v>
      </c>
      <c r="G533">
        <v>25</v>
      </c>
      <c r="H533">
        <v>3.7</v>
      </c>
      <c r="I533">
        <f>IF(MONTH(calls[[#This Row],[Date of Call]])&lt;=6, YEAR(calls[[#This Row],[Date of Call]]), YEAR(calls[[#This Row],[Date of Call]])+1)</f>
        <v>2025</v>
      </c>
      <c r="J533" t="str">
        <f>TEXT(calls[[#This Row],[Date of Call]],"DDDD")</f>
        <v>Friday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45815</v>
      </c>
      <c r="G534">
        <v>116</v>
      </c>
      <c r="H534">
        <v>3.8</v>
      </c>
      <c r="I534">
        <f>IF(MONTH(calls[[#This Row],[Date of Call]])&lt;=6, YEAR(calls[[#This Row],[Date of Call]]), YEAR(calls[[#This Row],[Date of Call]])+1)</f>
        <v>2025</v>
      </c>
      <c r="J534" t="str">
        <f>TEXT(calls[[#This Row],[Date of Call]],"DDDD")</f>
        <v>Saturday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45816</v>
      </c>
      <c r="G535">
        <v>132</v>
      </c>
      <c r="H535">
        <v>4.3</v>
      </c>
      <c r="I535">
        <f>IF(MONTH(calls[[#This Row],[Date of Call]])&lt;=6, YEAR(calls[[#This Row],[Date of Call]]), YEAR(calls[[#This Row],[Date of Call]])+1)</f>
        <v>2025</v>
      </c>
      <c r="J535" t="str">
        <f>TEXT(calls[[#This Row],[Date of Call]],"DDDD")</f>
        <v>Sunday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45817</v>
      </c>
      <c r="G536">
        <v>90</v>
      </c>
      <c r="H536">
        <v>3.5</v>
      </c>
      <c r="I536">
        <f>IF(MONTH(calls[[#This Row],[Date of Call]])&lt;=6, YEAR(calls[[#This Row],[Date of Call]]), YEAR(calls[[#This Row],[Date of Call]])+1)</f>
        <v>2025</v>
      </c>
      <c r="J536" t="str">
        <f>TEXT(calls[[#This Row],[Date of Call]],"DDDD")</f>
        <v>Monday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45817</v>
      </c>
      <c r="G537">
        <v>87</v>
      </c>
      <c r="H537">
        <v>4.0999999999999996</v>
      </c>
      <c r="I537">
        <f>IF(MONTH(calls[[#This Row],[Date of Call]])&lt;=6, YEAR(calls[[#This Row],[Date of Call]]), YEAR(calls[[#This Row],[Date of Call]])+1)</f>
        <v>2025</v>
      </c>
      <c r="J537" t="str">
        <f>TEXT(calls[[#This Row],[Date of Call]],"DDDD")</f>
        <v>Monday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45817</v>
      </c>
      <c r="G538">
        <v>140</v>
      </c>
      <c r="H538">
        <v>4.2</v>
      </c>
      <c r="I538">
        <f>IF(MONTH(calls[[#This Row],[Date of Call]])&lt;=6, YEAR(calls[[#This Row],[Date of Call]]), YEAR(calls[[#This Row],[Date of Call]])+1)</f>
        <v>2025</v>
      </c>
      <c r="J538" t="str">
        <f>TEXT(calls[[#This Row],[Date of Call]],"DDDD")</f>
        <v>Monday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45817</v>
      </c>
      <c r="G539">
        <v>164</v>
      </c>
      <c r="H539">
        <v>4.5</v>
      </c>
      <c r="I539">
        <f>IF(MONTH(calls[[#This Row],[Date of Call]])&lt;=6, YEAR(calls[[#This Row],[Date of Call]]), YEAR(calls[[#This Row],[Date of Call]])+1)</f>
        <v>2025</v>
      </c>
      <c r="J539" t="str">
        <f>TEXT(calls[[#This Row],[Date of Call]],"DDDD")</f>
        <v>Monday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45818</v>
      </c>
      <c r="G540">
        <v>180</v>
      </c>
      <c r="H540">
        <v>3.8</v>
      </c>
      <c r="I540">
        <f>IF(MONTH(calls[[#This Row],[Date of Call]])&lt;=6, YEAR(calls[[#This Row],[Date of Call]]), YEAR(calls[[#This Row],[Date of Call]])+1)</f>
        <v>2025</v>
      </c>
      <c r="J540" t="str">
        <f>TEXT(calls[[#This Row],[Date of Call]],"DDDD")</f>
        <v>Tuesday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45819</v>
      </c>
      <c r="G541">
        <v>22</v>
      </c>
      <c r="H541">
        <v>4.0999999999999996</v>
      </c>
      <c r="I541">
        <f>IF(MONTH(calls[[#This Row],[Date of Call]])&lt;=6, YEAR(calls[[#This Row],[Date of Call]]), YEAR(calls[[#This Row],[Date of Call]])+1)</f>
        <v>2025</v>
      </c>
      <c r="J541" t="str">
        <f>TEXT(calls[[#This Row],[Date of Call]],"DDDD")</f>
        <v>Wednesday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45819</v>
      </c>
      <c r="G542">
        <v>82</v>
      </c>
      <c r="H542">
        <v>4.4000000000000004</v>
      </c>
      <c r="I542">
        <f>IF(MONTH(calls[[#This Row],[Date of Call]])&lt;=6, YEAR(calls[[#This Row],[Date of Call]]), YEAR(calls[[#This Row],[Date of Call]])+1)</f>
        <v>2025</v>
      </c>
      <c r="J542" t="str">
        <f>TEXT(calls[[#This Row],[Date of Call]],"DDDD")</f>
        <v>Wednesday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45819</v>
      </c>
      <c r="G543">
        <v>100</v>
      </c>
      <c r="H543">
        <v>4.5999999999999996</v>
      </c>
      <c r="I543">
        <f>IF(MONTH(calls[[#This Row],[Date of Call]])&lt;=6, YEAR(calls[[#This Row],[Date of Call]]), YEAR(calls[[#This Row],[Date of Call]])+1)</f>
        <v>2025</v>
      </c>
      <c r="J543" t="str">
        <f>TEXT(calls[[#This Row],[Date of Call]],"DDDD")</f>
        <v>Wednesday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45820</v>
      </c>
      <c r="G544">
        <v>52</v>
      </c>
      <c r="H544">
        <v>3.4</v>
      </c>
      <c r="I544">
        <f>IF(MONTH(calls[[#This Row],[Date of Call]])&lt;=6, YEAR(calls[[#This Row],[Date of Call]]), YEAR(calls[[#This Row],[Date of Call]])+1)</f>
        <v>2025</v>
      </c>
      <c r="J544" t="str">
        <f>TEXT(calls[[#This Row],[Date of Call]],"DDDD")</f>
        <v>Thursday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45821</v>
      </c>
      <c r="G545">
        <v>84</v>
      </c>
      <c r="H545">
        <v>4.5999999999999996</v>
      </c>
      <c r="I545">
        <f>IF(MONTH(calls[[#This Row],[Date of Call]])&lt;=6, YEAR(calls[[#This Row],[Date of Call]]), YEAR(calls[[#This Row],[Date of Call]])+1)</f>
        <v>2025</v>
      </c>
      <c r="J545" t="str">
        <f>TEXT(calls[[#This Row],[Date of Call]],"DDDD")</f>
        <v>Friday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45821</v>
      </c>
      <c r="G546">
        <v>37</v>
      </c>
      <c r="H546">
        <v>3.9</v>
      </c>
      <c r="I546">
        <f>IF(MONTH(calls[[#This Row],[Date of Call]])&lt;=6, YEAR(calls[[#This Row],[Date of Call]]), YEAR(calls[[#This Row],[Date of Call]])+1)</f>
        <v>2025</v>
      </c>
      <c r="J546" t="str">
        <f>TEXT(calls[[#This Row],[Date of Call]],"DDDD")</f>
        <v>Friday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45822</v>
      </c>
      <c r="G547">
        <v>190</v>
      </c>
      <c r="H547">
        <v>4</v>
      </c>
      <c r="I547">
        <f>IF(MONTH(calls[[#This Row],[Date of Call]])&lt;=6, YEAR(calls[[#This Row],[Date of Call]]), YEAR(calls[[#This Row],[Date of Call]])+1)</f>
        <v>2025</v>
      </c>
      <c r="J547" t="str">
        <f>TEXT(calls[[#This Row],[Date of Call]],"DDDD")</f>
        <v>Saturday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45822</v>
      </c>
      <c r="G548">
        <v>66</v>
      </c>
      <c r="H548">
        <v>3.4</v>
      </c>
      <c r="I548">
        <f>IF(MONTH(calls[[#This Row],[Date of Call]])&lt;=6, YEAR(calls[[#This Row],[Date of Call]]), YEAR(calls[[#This Row],[Date of Call]])+1)</f>
        <v>2025</v>
      </c>
      <c r="J548" t="str">
        <f>TEXT(calls[[#This Row],[Date of Call]],"DDDD")</f>
        <v>Saturday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45823</v>
      </c>
      <c r="G549">
        <v>116</v>
      </c>
      <c r="H549">
        <v>3.2</v>
      </c>
      <c r="I549">
        <f>IF(MONTH(calls[[#This Row],[Date of Call]])&lt;=6, YEAR(calls[[#This Row],[Date of Call]]), YEAR(calls[[#This Row],[Date of Call]])+1)</f>
        <v>2025</v>
      </c>
      <c r="J549" t="str">
        <f>TEXT(calls[[#This Row],[Date of Call]],"DDDD")</f>
        <v>Sunday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45823</v>
      </c>
      <c r="G550">
        <v>28</v>
      </c>
      <c r="H550">
        <v>3.9</v>
      </c>
      <c r="I550">
        <f>IF(MONTH(calls[[#This Row],[Date of Call]])&lt;=6, YEAR(calls[[#This Row],[Date of Call]]), YEAR(calls[[#This Row],[Date of Call]])+1)</f>
        <v>2025</v>
      </c>
      <c r="J550" t="str">
        <f>TEXT(calls[[#This Row],[Date of Call]],"DDDD")</f>
        <v>Sunday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45823</v>
      </c>
      <c r="G551">
        <v>120</v>
      </c>
      <c r="H551">
        <v>5</v>
      </c>
      <c r="I551">
        <f>IF(MONTH(calls[[#This Row],[Date of Call]])&lt;=6, YEAR(calls[[#This Row],[Date of Call]]), YEAR(calls[[#This Row],[Date of Call]])+1)</f>
        <v>2025</v>
      </c>
      <c r="J551" t="str">
        <f>TEXT(calls[[#This Row],[Date of Call]],"DDDD")</f>
        <v>Sunday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45823</v>
      </c>
      <c r="G552">
        <v>56</v>
      </c>
      <c r="H552">
        <v>3.5</v>
      </c>
      <c r="I552">
        <f>IF(MONTH(calls[[#This Row],[Date of Call]])&lt;=6, YEAR(calls[[#This Row],[Date of Call]]), YEAR(calls[[#This Row],[Date of Call]])+1)</f>
        <v>2025</v>
      </c>
      <c r="J552" t="str">
        <f>TEXT(calls[[#This Row],[Date of Call]],"DDDD")</f>
        <v>Sunday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45823</v>
      </c>
      <c r="G553">
        <v>170</v>
      </c>
      <c r="H553">
        <v>3.8</v>
      </c>
      <c r="I553">
        <f>IF(MONTH(calls[[#This Row],[Date of Call]])&lt;=6, YEAR(calls[[#This Row],[Date of Call]]), YEAR(calls[[#This Row],[Date of Call]])+1)</f>
        <v>2025</v>
      </c>
      <c r="J553" t="str">
        <f>TEXT(calls[[#This Row],[Date of Call]],"DDDD")</f>
        <v>Sunday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45824</v>
      </c>
      <c r="G554">
        <v>200</v>
      </c>
      <c r="H554">
        <v>4.8</v>
      </c>
      <c r="I554">
        <f>IF(MONTH(calls[[#This Row],[Date of Call]])&lt;=6, YEAR(calls[[#This Row],[Date of Call]]), YEAR(calls[[#This Row],[Date of Call]])+1)</f>
        <v>2025</v>
      </c>
      <c r="J554" t="str">
        <f>TEXT(calls[[#This Row],[Date of Call]],"DDDD")</f>
        <v>Monday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45825</v>
      </c>
      <c r="G555">
        <v>50</v>
      </c>
      <c r="H555">
        <v>4.2</v>
      </c>
      <c r="I555">
        <f>IF(MONTH(calls[[#This Row],[Date of Call]])&lt;=6, YEAR(calls[[#This Row],[Date of Call]]), YEAR(calls[[#This Row],[Date of Call]])+1)</f>
        <v>2025</v>
      </c>
      <c r="J555" t="str">
        <f>TEXT(calls[[#This Row],[Date of Call]],"DDDD")</f>
        <v>Tuesday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45825</v>
      </c>
      <c r="G556">
        <v>112</v>
      </c>
      <c r="H556">
        <v>3.7</v>
      </c>
      <c r="I556">
        <f>IF(MONTH(calls[[#This Row],[Date of Call]])&lt;=6, YEAR(calls[[#This Row],[Date of Call]]), YEAR(calls[[#This Row],[Date of Call]])+1)</f>
        <v>2025</v>
      </c>
      <c r="J556" t="str">
        <f>TEXT(calls[[#This Row],[Date of Call]],"DDDD")</f>
        <v>Tuesday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45826</v>
      </c>
      <c r="G557">
        <v>39</v>
      </c>
      <c r="H557">
        <v>4.8</v>
      </c>
      <c r="I557">
        <f>IF(MONTH(calls[[#This Row],[Date of Call]])&lt;=6, YEAR(calls[[#This Row],[Date of Call]]), YEAR(calls[[#This Row],[Date of Call]])+1)</f>
        <v>2025</v>
      </c>
      <c r="J557" t="str">
        <f>TEXT(calls[[#This Row],[Date of Call]],"DDDD")</f>
        <v>Wednesday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45826</v>
      </c>
      <c r="G558">
        <v>38</v>
      </c>
      <c r="H558">
        <v>4.8</v>
      </c>
      <c r="I558">
        <f>IF(MONTH(calls[[#This Row],[Date of Call]])&lt;=6, YEAR(calls[[#This Row],[Date of Call]]), YEAR(calls[[#This Row],[Date of Call]])+1)</f>
        <v>2025</v>
      </c>
      <c r="J558" t="str">
        <f>TEXT(calls[[#This Row],[Date of Call]],"DDDD")</f>
        <v>Wednesday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45827</v>
      </c>
      <c r="G559">
        <v>84</v>
      </c>
      <c r="H559">
        <v>2.9</v>
      </c>
      <c r="I559">
        <f>IF(MONTH(calls[[#This Row],[Date of Call]])&lt;=6, YEAR(calls[[#This Row],[Date of Call]]), YEAR(calls[[#This Row],[Date of Call]])+1)</f>
        <v>2025</v>
      </c>
      <c r="J559" t="str">
        <f>TEXT(calls[[#This Row],[Date of Call]],"DDDD")</f>
        <v>Thursday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45828</v>
      </c>
      <c r="G560">
        <v>82</v>
      </c>
      <c r="H560">
        <v>3.5</v>
      </c>
      <c r="I560">
        <f>IF(MONTH(calls[[#This Row],[Date of Call]])&lt;=6, YEAR(calls[[#This Row],[Date of Call]]), YEAR(calls[[#This Row],[Date of Call]])+1)</f>
        <v>2025</v>
      </c>
      <c r="J560" t="str">
        <f>TEXT(calls[[#This Row],[Date of Call]],"DDDD")</f>
        <v>Friday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45828</v>
      </c>
      <c r="G561">
        <v>37</v>
      </c>
      <c r="H561">
        <v>0.9</v>
      </c>
      <c r="I561">
        <f>IF(MONTH(calls[[#This Row],[Date of Call]])&lt;=6, YEAR(calls[[#This Row],[Date of Call]]), YEAR(calls[[#This Row],[Date of Call]])+1)</f>
        <v>2025</v>
      </c>
      <c r="J561" t="str">
        <f>TEXT(calls[[#This Row],[Date of Call]],"DDDD")</f>
        <v>Friday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45829</v>
      </c>
      <c r="G562">
        <v>87</v>
      </c>
      <c r="H562">
        <v>3.4</v>
      </c>
      <c r="I562">
        <f>IF(MONTH(calls[[#This Row],[Date of Call]])&lt;=6, YEAR(calls[[#This Row],[Date of Call]]), YEAR(calls[[#This Row],[Date of Call]])+1)</f>
        <v>2025</v>
      </c>
      <c r="J562" t="str">
        <f>TEXT(calls[[#This Row],[Date of Call]],"DDDD")</f>
        <v>Saturday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45829</v>
      </c>
      <c r="G563">
        <v>75</v>
      </c>
      <c r="H563">
        <v>2.7</v>
      </c>
      <c r="I563">
        <f>IF(MONTH(calls[[#This Row],[Date of Call]])&lt;=6, YEAR(calls[[#This Row],[Date of Call]]), YEAR(calls[[#This Row],[Date of Call]])+1)</f>
        <v>2025</v>
      </c>
      <c r="J563" t="str">
        <f>TEXT(calls[[#This Row],[Date of Call]],"DDDD")</f>
        <v>Saturday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45829</v>
      </c>
      <c r="G564">
        <v>32</v>
      </c>
      <c r="H564">
        <v>4.7</v>
      </c>
      <c r="I564">
        <f>IF(MONTH(calls[[#This Row],[Date of Call]])&lt;=6, YEAR(calls[[#This Row],[Date of Call]]), YEAR(calls[[#This Row],[Date of Call]])+1)</f>
        <v>2025</v>
      </c>
      <c r="J564" t="str">
        <f>TEXT(calls[[#This Row],[Date of Call]],"DDDD")</f>
        <v>Saturday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45829</v>
      </c>
      <c r="G565">
        <v>33</v>
      </c>
      <c r="H565">
        <v>3</v>
      </c>
      <c r="I565">
        <f>IF(MONTH(calls[[#This Row],[Date of Call]])&lt;=6, YEAR(calls[[#This Row],[Date of Call]]), YEAR(calls[[#This Row],[Date of Call]])+1)</f>
        <v>2025</v>
      </c>
      <c r="J565" t="str">
        <f>TEXT(calls[[#This Row],[Date of Call]],"DDDD")</f>
        <v>Saturday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45829</v>
      </c>
      <c r="G566">
        <v>76</v>
      </c>
      <c r="H566">
        <v>4.2</v>
      </c>
      <c r="I566">
        <f>IF(MONTH(calls[[#This Row],[Date of Call]])&lt;=6, YEAR(calls[[#This Row],[Date of Call]]), YEAR(calls[[#This Row],[Date of Call]])+1)</f>
        <v>2025</v>
      </c>
      <c r="J566" t="str">
        <f>TEXT(calls[[#This Row],[Date of Call]],"DDDD")</f>
        <v>Saturday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45829</v>
      </c>
      <c r="G567">
        <v>117</v>
      </c>
      <c r="H567">
        <v>4.8</v>
      </c>
      <c r="I567">
        <f>IF(MONTH(calls[[#This Row],[Date of Call]])&lt;=6, YEAR(calls[[#This Row],[Date of Call]]), YEAR(calls[[#This Row],[Date of Call]])+1)</f>
        <v>2025</v>
      </c>
      <c r="J567" t="str">
        <f>TEXT(calls[[#This Row],[Date of Call]],"DDDD")</f>
        <v>Saturday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45833</v>
      </c>
      <c r="G568">
        <v>70</v>
      </c>
      <c r="H568">
        <v>4.0999999999999996</v>
      </c>
      <c r="I568">
        <f>IF(MONTH(calls[[#This Row],[Date of Call]])&lt;=6, YEAR(calls[[#This Row],[Date of Call]]), YEAR(calls[[#This Row],[Date of Call]])+1)</f>
        <v>2025</v>
      </c>
      <c r="J568" t="str">
        <f>TEXT(calls[[#This Row],[Date of Call]],"DDDD")</f>
        <v>Wednesday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45833</v>
      </c>
      <c r="G569">
        <v>37</v>
      </c>
      <c r="H569">
        <v>2.7</v>
      </c>
      <c r="I569">
        <f>IF(MONTH(calls[[#This Row],[Date of Call]])&lt;=6, YEAR(calls[[#This Row],[Date of Call]]), YEAR(calls[[#This Row],[Date of Call]])+1)</f>
        <v>2025</v>
      </c>
      <c r="J569" t="str">
        <f>TEXT(calls[[#This Row],[Date of Call]],"DDDD")</f>
        <v>Wednesday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45833</v>
      </c>
      <c r="G570">
        <v>46</v>
      </c>
      <c r="H570">
        <v>2.9</v>
      </c>
      <c r="I570">
        <f>IF(MONTH(calls[[#This Row],[Date of Call]])&lt;=6, YEAR(calls[[#This Row],[Date of Call]]), YEAR(calls[[#This Row],[Date of Call]])+1)</f>
        <v>2025</v>
      </c>
      <c r="J570" t="str">
        <f>TEXT(calls[[#This Row],[Date of Call]],"DDDD")</f>
        <v>Wednesday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45833</v>
      </c>
      <c r="G571">
        <v>136</v>
      </c>
      <c r="H571">
        <v>5</v>
      </c>
      <c r="I571">
        <f>IF(MONTH(calls[[#This Row],[Date of Call]])&lt;=6, YEAR(calls[[#This Row],[Date of Call]]), YEAR(calls[[#This Row],[Date of Call]])+1)</f>
        <v>2025</v>
      </c>
      <c r="J571" t="str">
        <f>TEXT(calls[[#This Row],[Date of Call]],"DDDD")</f>
        <v>Wednesday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45832</v>
      </c>
      <c r="G572">
        <v>44</v>
      </c>
      <c r="H572">
        <v>4.5999999999999996</v>
      </c>
      <c r="I572">
        <f>IF(MONTH(calls[[#This Row],[Date of Call]])&lt;=6, YEAR(calls[[#This Row],[Date of Call]]), YEAR(calls[[#This Row],[Date of Call]])+1)</f>
        <v>2025</v>
      </c>
      <c r="J572" t="str">
        <f>TEXT(calls[[#This Row],[Date of Call]],"DDDD")</f>
        <v>Tuesday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45832</v>
      </c>
      <c r="G573">
        <v>69</v>
      </c>
      <c r="H573">
        <v>3</v>
      </c>
      <c r="I573">
        <f>IF(MONTH(calls[[#This Row],[Date of Call]])&lt;=6, YEAR(calls[[#This Row],[Date of Call]]), YEAR(calls[[#This Row],[Date of Call]])+1)</f>
        <v>2025</v>
      </c>
      <c r="J573" t="str">
        <f>TEXT(calls[[#This Row],[Date of Call]],"DDDD")</f>
        <v>Tuesday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45833</v>
      </c>
      <c r="G574">
        <v>86</v>
      </c>
      <c r="H574">
        <v>4.5999999999999996</v>
      </c>
      <c r="I574">
        <f>IF(MONTH(calls[[#This Row],[Date of Call]])&lt;=6, YEAR(calls[[#This Row],[Date of Call]]), YEAR(calls[[#This Row],[Date of Call]])+1)</f>
        <v>2025</v>
      </c>
      <c r="J574" t="str">
        <f>TEXT(calls[[#This Row],[Date of Call]],"DDDD")</f>
        <v>Wednesday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45833</v>
      </c>
      <c r="G575">
        <v>68</v>
      </c>
      <c r="H575">
        <v>4.5</v>
      </c>
      <c r="I575">
        <f>IF(MONTH(calls[[#This Row],[Date of Call]])&lt;=6, YEAR(calls[[#This Row],[Date of Call]]), YEAR(calls[[#This Row],[Date of Call]])+1)</f>
        <v>2025</v>
      </c>
      <c r="J575" t="str">
        <f>TEXT(calls[[#This Row],[Date of Call]],"DDDD")</f>
        <v>Wednesday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45834</v>
      </c>
      <c r="G576">
        <v>21</v>
      </c>
      <c r="H576">
        <v>3.7</v>
      </c>
      <c r="I576">
        <f>IF(MONTH(calls[[#This Row],[Date of Call]])&lt;=6, YEAR(calls[[#This Row],[Date of Call]]), YEAR(calls[[#This Row],[Date of Call]])+1)</f>
        <v>2025</v>
      </c>
      <c r="J576" t="str">
        <f>TEXT(calls[[#This Row],[Date of Call]],"DDDD")</f>
        <v>Thursday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45834</v>
      </c>
      <c r="G577">
        <v>190</v>
      </c>
      <c r="H577">
        <v>2.4</v>
      </c>
      <c r="I577">
        <f>IF(MONTH(calls[[#This Row],[Date of Call]])&lt;=6, YEAR(calls[[#This Row],[Date of Call]]), YEAR(calls[[#This Row],[Date of Call]])+1)</f>
        <v>2025</v>
      </c>
      <c r="J577" t="str">
        <f>TEXT(calls[[#This Row],[Date of Call]],"DDDD")</f>
        <v>Thursday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45834</v>
      </c>
      <c r="G578">
        <v>176</v>
      </c>
      <c r="H578">
        <v>4.3</v>
      </c>
      <c r="I578">
        <f>IF(MONTH(calls[[#This Row],[Date of Call]])&lt;=6, YEAR(calls[[#This Row],[Date of Call]]), YEAR(calls[[#This Row],[Date of Call]])+1)</f>
        <v>2025</v>
      </c>
      <c r="J578" t="str">
        <f>TEXT(calls[[#This Row],[Date of Call]],"DDDD")</f>
        <v>Thursday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45834</v>
      </c>
      <c r="G579">
        <v>172</v>
      </c>
      <c r="H579">
        <v>3.9</v>
      </c>
      <c r="I579">
        <f>IF(MONTH(calls[[#This Row],[Date of Call]])&lt;=6, YEAR(calls[[#This Row],[Date of Call]]), YEAR(calls[[#This Row],[Date of Call]])+1)</f>
        <v>2025</v>
      </c>
      <c r="J579" t="str">
        <f>TEXT(calls[[#This Row],[Date of Call]],"DDDD")</f>
        <v>Thursday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45834</v>
      </c>
      <c r="G580">
        <v>84</v>
      </c>
      <c r="H580">
        <v>4.5</v>
      </c>
      <c r="I580">
        <f>IF(MONTH(calls[[#This Row],[Date of Call]])&lt;=6, YEAR(calls[[#This Row],[Date of Call]]), YEAR(calls[[#This Row],[Date of Call]])+1)</f>
        <v>2025</v>
      </c>
      <c r="J580" t="str">
        <f>TEXT(calls[[#This Row],[Date of Call]],"DDDD")</f>
        <v>Thursday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45835</v>
      </c>
      <c r="G581">
        <v>42</v>
      </c>
      <c r="H581">
        <v>5</v>
      </c>
      <c r="I581">
        <f>IF(MONTH(calls[[#This Row],[Date of Call]])&lt;=6, YEAR(calls[[#This Row],[Date of Call]]), YEAR(calls[[#This Row],[Date of Call]])+1)</f>
        <v>2025</v>
      </c>
      <c r="J581" t="str">
        <f>TEXT(calls[[#This Row],[Date of Call]],"DDDD")</f>
        <v>Friday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45835</v>
      </c>
      <c r="G582">
        <v>70</v>
      </c>
      <c r="H582">
        <v>1.6</v>
      </c>
      <c r="I582">
        <f>IF(MONTH(calls[[#This Row],[Date of Call]])&lt;=6, YEAR(calls[[#This Row],[Date of Call]]), YEAR(calls[[#This Row],[Date of Call]])+1)</f>
        <v>2025</v>
      </c>
      <c r="J582" t="str">
        <f>TEXT(calls[[#This Row],[Date of Call]],"DDDD")</f>
        <v>Friday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45835</v>
      </c>
      <c r="G583">
        <v>60</v>
      </c>
      <c r="H583">
        <v>4.3</v>
      </c>
      <c r="I583">
        <f>IF(MONTH(calls[[#This Row],[Date of Call]])&lt;=6, YEAR(calls[[#This Row],[Date of Call]]), YEAR(calls[[#This Row],[Date of Call]])+1)</f>
        <v>2025</v>
      </c>
      <c r="J583" t="str">
        <f>TEXT(calls[[#This Row],[Date of Call]],"DDDD")</f>
        <v>Friday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45835</v>
      </c>
      <c r="G584">
        <v>84</v>
      </c>
      <c r="H584">
        <v>3.5</v>
      </c>
      <c r="I584">
        <f>IF(MONTH(calls[[#This Row],[Date of Call]])&lt;=6, YEAR(calls[[#This Row],[Date of Call]]), YEAR(calls[[#This Row],[Date of Call]])+1)</f>
        <v>2025</v>
      </c>
      <c r="J584" t="str">
        <f>TEXT(calls[[#This Row],[Date of Call]],"DDDD")</f>
        <v>Friday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45836</v>
      </c>
      <c r="G585">
        <v>68</v>
      </c>
      <c r="H585">
        <v>3.1</v>
      </c>
      <c r="I585">
        <f>IF(MONTH(calls[[#This Row],[Date of Call]])&lt;=6, YEAR(calls[[#This Row],[Date of Call]]), YEAR(calls[[#This Row],[Date of Call]])+1)</f>
        <v>2025</v>
      </c>
      <c r="J585" t="str">
        <f>TEXT(calls[[#This Row],[Date of Call]],"DDDD")</f>
        <v>Saturday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45836</v>
      </c>
      <c r="G586">
        <v>44</v>
      </c>
      <c r="H586">
        <v>2.9</v>
      </c>
      <c r="I586">
        <f>IF(MONTH(calls[[#This Row],[Date of Call]])&lt;=6, YEAR(calls[[#This Row],[Date of Call]]), YEAR(calls[[#This Row],[Date of Call]])+1)</f>
        <v>2025</v>
      </c>
      <c r="J586" t="str">
        <f>TEXT(calls[[#This Row],[Date of Call]],"DDDD")</f>
        <v>Saturday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45837</v>
      </c>
      <c r="G587">
        <v>99</v>
      </c>
      <c r="H587">
        <v>3.2</v>
      </c>
      <c r="I587">
        <f>IF(MONTH(calls[[#This Row],[Date of Call]])&lt;=6, YEAR(calls[[#This Row],[Date of Call]]), YEAR(calls[[#This Row],[Date of Call]])+1)</f>
        <v>2025</v>
      </c>
      <c r="J587" t="str">
        <f>TEXT(calls[[#This Row],[Date of Call]],"DDDD")</f>
        <v>Sunday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45838</v>
      </c>
      <c r="G588">
        <v>66</v>
      </c>
      <c r="H588">
        <v>3.2</v>
      </c>
      <c r="I588">
        <f>IF(MONTH(calls[[#This Row],[Date of Call]])&lt;=6, YEAR(calls[[#This Row],[Date of Call]]), YEAR(calls[[#This Row],[Date of Call]])+1)</f>
        <v>2025</v>
      </c>
      <c r="J588" t="str">
        <f>TEXT(calls[[#This Row],[Date of Call]],"DDDD")</f>
        <v>Monday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45838</v>
      </c>
      <c r="G589">
        <v>102</v>
      </c>
      <c r="H589">
        <v>4.5</v>
      </c>
      <c r="I589">
        <f>IF(MONTH(calls[[#This Row],[Date of Call]])&lt;=6, YEAR(calls[[#This Row],[Date of Call]]), YEAR(calls[[#This Row],[Date of Call]])+1)</f>
        <v>2025</v>
      </c>
      <c r="J589" t="str">
        <f>TEXT(calls[[#This Row],[Date of Call]],"DDDD")</f>
        <v>Monday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45839</v>
      </c>
      <c r="G590">
        <v>129</v>
      </c>
      <c r="H590">
        <v>3.9</v>
      </c>
      <c r="I590">
        <f>IF(MONTH(calls[[#This Row],[Date of Call]])&lt;=6, YEAR(calls[[#This Row],[Date of Call]]), YEAR(calls[[#This Row],[Date of Call]])+1)</f>
        <v>2026</v>
      </c>
      <c r="J590" t="str">
        <f>TEXT(calls[[#This Row],[Date of Call]],"DDDD")</f>
        <v>Tuesday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45839</v>
      </c>
      <c r="G591">
        <v>80</v>
      </c>
      <c r="H591">
        <v>4.2</v>
      </c>
      <c r="I591">
        <f>IF(MONTH(calls[[#This Row],[Date of Call]])&lt;=6, YEAR(calls[[#This Row],[Date of Call]]), YEAR(calls[[#This Row],[Date of Call]])+1)</f>
        <v>2026</v>
      </c>
      <c r="J591" t="str">
        <f>TEXT(calls[[#This Row],[Date of Call]],"DDDD")</f>
        <v>Tuesday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45839</v>
      </c>
      <c r="G592">
        <v>54</v>
      </c>
      <c r="H592">
        <v>1.8</v>
      </c>
      <c r="I592">
        <f>IF(MONTH(calls[[#This Row],[Date of Call]])&lt;=6, YEAR(calls[[#This Row],[Date of Call]]), YEAR(calls[[#This Row],[Date of Call]])+1)</f>
        <v>2026</v>
      </c>
      <c r="J592" t="str">
        <f>TEXT(calls[[#This Row],[Date of Call]],"DDDD")</f>
        <v>Tuesday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45839</v>
      </c>
      <c r="G593">
        <v>116</v>
      </c>
      <c r="H593">
        <v>4.2</v>
      </c>
      <c r="I593">
        <f>IF(MONTH(calls[[#This Row],[Date of Call]])&lt;=6, YEAR(calls[[#This Row],[Date of Call]]), YEAR(calls[[#This Row],[Date of Call]])+1)</f>
        <v>2026</v>
      </c>
      <c r="J593" t="str">
        <f>TEXT(calls[[#This Row],[Date of Call]],"DDDD")</f>
        <v>Tuesday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45839</v>
      </c>
      <c r="G594">
        <v>102</v>
      </c>
      <c r="H594">
        <v>3.1</v>
      </c>
      <c r="I594">
        <f>IF(MONTH(calls[[#This Row],[Date of Call]])&lt;=6, YEAR(calls[[#This Row],[Date of Call]]), YEAR(calls[[#This Row],[Date of Call]])+1)</f>
        <v>2026</v>
      </c>
      <c r="J594" t="str">
        <f>TEXT(calls[[#This Row],[Date of Call]],"DDDD")</f>
        <v>Tuesday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45839</v>
      </c>
      <c r="G595">
        <v>140</v>
      </c>
      <c r="H595">
        <v>4.3</v>
      </c>
      <c r="I595">
        <f>IF(MONTH(calls[[#This Row],[Date of Call]])&lt;=6, YEAR(calls[[#This Row],[Date of Call]]), YEAR(calls[[#This Row],[Date of Call]])+1)</f>
        <v>2026</v>
      </c>
      <c r="J595" t="str">
        <f>TEXT(calls[[#This Row],[Date of Call]],"DDDD")</f>
        <v>Tuesday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45840</v>
      </c>
      <c r="G596">
        <v>104</v>
      </c>
      <c r="H596">
        <v>4.4000000000000004</v>
      </c>
      <c r="I596">
        <f>IF(MONTH(calls[[#This Row],[Date of Call]])&lt;=6, YEAR(calls[[#This Row],[Date of Call]]), YEAR(calls[[#This Row],[Date of Call]])+1)</f>
        <v>2026</v>
      </c>
      <c r="J596" t="str">
        <f>TEXT(calls[[#This Row],[Date of Call]],"DDDD")</f>
        <v>Wednesday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45840</v>
      </c>
      <c r="G597">
        <v>81</v>
      </c>
      <c r="H597">
        <v>4.4000000000000004</v>
      </c>
      <c r="I597">
        <f>IF(MONTH(calls[[#This Row],[Date of Call]])&lt;=6, YEAR(calls[[#This Row],[Date of Call]]), YEAR(calls[[#This Row],[Date of Call]])+1)</f>
        <v>2026</v>
      </c>
      <c r="J597" t="str">
        <f>TEXT(calls[[#This Row],[Date of Call]],"DDDD")</f>
        <v>Wednesday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45842</v>
      </c>
      <c r="G598">
        <v>140</v>
      </c>
      <c r="H598">
        <v>2.4</v>
      </c>
      <c r="I598">
        <f>IF(MONTH(calls[[#This Row],[Date of Call]])&lt;=6, YEAR(calls[[#This Row],[Date of Call]]), YEAR(calls[[#This Row],[Date of Call]])+1)</f>
        <v>2026</v>
      </c>
      <c r="J598" t="str">
        <f>TEXT(calls[[#This Row],[Date of Call]],"DDDD")</f>
        <v>Friday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45843</v>
      </c>
      <c r="G599">
        <v>120</v>
      </c>
      <c r="H599">
        <v>3.5</v>
      </c>
      <c r="I599">
        <f>IF(MONTH(calls[[#This Row],[Date of Call]])&lt;=6, YEAR(calls[[#This Row],[Date of Call]]), YEAR(calls[[#This Row],[Date of Call]])+1)</f>
        <v>2026</v>
      </c>
      <c r="J599" t="str">
        <f>TEXT(calls[[#This Row],[Date of Call]],"DDDD")</f>
        <v>Saturday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45843</v>
      </c>
      <c r="G600">
        <v>41</v>
      </c>
      <c r="H600">
        <v>3.1</v>
      </c>
      <c r="I600">
        <f>IF(MONTH(calls[[#This Row],[Date of Call]])&lt;=6, YEAR(calls[[#This Row],[Date of Call]]), YEAR(calls[[#This Row],[Date of Call]])+1)</f>
        <v>2026</v>
      </c>
      <c r="J600" t="str">
        <f>TEXT(calls[[#This Row],[Date of Call]],"DDDD")</f>
        <v>Saturday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45843</v>
      </c>
      <c r="G601">
        <v>116</v>
      </c>
      <c r="H601">
        <v>2.2999999999999998</v>
      </c>
      <c r="I601">
        <f>IF(MONTH(calls[[#This Row],[Date of Call]])&lt;=6, YEAR(calls[[#This Row],[Date of Call]]), YEAR(calls[[#This Row],[Date of Call]])+1)</f>
        <v>2026</v>
      </c>
      <c r="J601" t="str">
        <f>TEXT(calls[[#This Row],[Date of Call]],"DDDD")</f>
        <v>Saturday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45844</v>
      </c>
      <c r="G602">
        <v>70</v>
      </c>
      <c r="H602">
        <v>2.8</v>
      </c>
      <c r="I602">
        <f>IF(MONTH(calls[[#This Row],[Date of Call]])&lt;=6, YEAR(calls[[#This Row],[Date of Call]]), YEAR(calls[[#This Row],[Date of Call]])+1)</f>
        <v>2026</v>
      </c>
      <c r="J602" t="str">
        <f>TEXT(calls[[#This Row],[Date of Call]],"DDDD")</f>
        <v>Sunday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45844</v>
      </c>
      <c r="G603">
        <v>42</v>
      </c>
      <c r="H603">
        <v>4.5</v>
      </c>
      <c r="I603">
        <f>IF(MONTH(calls[[#This Row],[Date of Call]])&lt;=6, YEAR(calls[[#This Row],[Date of Call]]), YEAR(calls[[#This Row],[Date of Call]])+1)</f>
        <v>2026</v>
      </c>
      <c r="J603" t="str">
        <f>TEXT(calls[[#This Row],[Date of Call]],"DDDD")</f>
        <v>Sunday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45845</v>
      </c>
      <c r="G604">
        <v>112</v>
      </c>
      <c r="H604">
        <v>4.5</v>
      </c>
      <c r="I604">
        <f>IF(MONTH(calls[[#This Row],[Date of Call]])&lt;=6, YEAR(calls[[#This Row],[Date of Call]]), YEAR(calls[[#This Row],[Date of Call]])+1)</f>
        <v>2026</v>
      </c>
      <c r="J604" t="str">
        <f>TEXT(calls[[#This Row],[Date of Call]],"DDDD")</f>
        <v>Monday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45845</v>
      </c>
      <c r="G605">
        <v>20</v>
      </c>
      <c r="H605">
        <v>4.5</v>
      </c>
      <c r="I605">
        <f>IF(MONTH(calls[[#This Row],[Date of Call]])&lt;=6, YEAR(calls[[#This Row],[Date of Call]]), YEAR(calls[[#This Row],[Date of Call]])+1)</f>
        <v>2026</v>
      </c>
      <c r="J605" t="str">
        <f>TEXT(calls[[#This Row],[Date of Call]],"DDDD")</f>
        <v>Monday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45846</v>
      </c>
      <c r="G606">
        <v>110</v>
      </c>
      <c r="H606">
        <v>4.8</v>
      </c>
      <c r="I606">
        <f>IF(MONTH(calls[[#This Row],[Date of Call]])&lt;=6, YEAR(calls[[#This Row],[Date of Call]]), YEAR(calls[[#This Row],[Date of Call]])+1)</f>
        <v>2026</v>
      </c>
      <c r="J606" t="str">
        <f>TEXT(calls[[#This Row],[Date of Call]],"DDDD")</f>
        <v>Tuesday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45846</v>
      </c>
      <c r="G607">
        <v>39</v>
      </c>
      <c r="H607">
        <v>4.5999999999999996</v>
      </c>
      <c r="I607">
        <f>IF(MONTH(calls[[#This Row],[Date of Call]])&lt;=6, YEAR(calls[[#This Row],[Date of Call]]), YEAR(calls[[#This Row],[Date of Call]])+1)</f>
        <v>2026</v>
      </c>
      <c r="J607" t="str">
        <f>TEXT(calls[[#This Row],[Date of Call]],"DDDD")</f>
        <v>Tuesday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45846</v>
      </c>
      <c r="G608">
        <v>76</v>
      </c>
      <c r="H608">
        <v>4.5</v>
      </c>
      <c r="I608">
        <f>IF(MONTH(calls[[#This Row],[Date of Call]])&lt;=6, YEAR(calls[[#This Row],[Date of Call]]), YEAR(calls[[#This Row],[Date of Call]])+1)</f>
        <v>2026</v>
      </c>
      <c r="J608" t="str">
        <f>TEXT(calls[[#This Row],[Date of Call]],"DDDD")</f>
        <v>Tuesday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45846</v>
      </c>
      <c r="G609">
        <v>40</v>
      </c>
      <c r="H609">
        <v>5</v>
      </c>
      <c r="I609">
        <f>IF(MONTH(calls[[#This Row],[Date of Call]])&lt;=6, YEAR(calls[[#This Row],[Date of Call]]), YEAR(calls[[#This Row],[Date of Call]])+1)</f>
        <v>2026</v>
      </c>
      <c r="J609" t="str">
        <f>TEXT(calls[[#This Row],[Date of Call]],"DDDD")</f>
        <v>Tuesday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45846</v>
      </c>
      <c r="G610">
        <v>42</v>
      </c>
      <c r="H610">
        <v>4.8</v>
      </c>
      <c r="I610">
        <f>IF(MONTH(calls[[#This Row],[Date of Call]])&lt;=6, YEAR(calls[[#This Row],[Date of Call]]), YEAR(calls[[#This Row],[Date of Call]])+1)</f>
        <v>2026</v>
      </c>
      <c r="J610" t="str">
        <f>TEXT(calls[[#This Row],[Date of Call]],"DDDD")</f>
        <v>Tuesday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45847</v>
      </c>
      <c r="G611">
        <v>215</v>
      </c>
      <c r="H611">
        <v>3.5</v>
      </c>
      <c r="I611">
        <f>IF(MONTH(calls[[#This Row],[Date of Call]])&lt;=6, YEAR(calls[[#This Row],[Date of Call]]), YEAR(calls[[#This Row],[Date of Call]])+1)</f>
        <v>2026</v>
      </c>
      <c r="J611" t="str">
        <f>TEXT(calls[[#This Row],[Date of Call]],"DDDD")</f>
        <v>Wednesday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45848</v>
      </c>
      <c r="G612">
        <v>130</v>
      </c>
      <c r="H612">
        <v>3.4</v>
      </c>
      <c r="I612">
        <f>IF(MONTH(calls[[#This Row],[Date of Call]])&lt;=6, YEAR(calls[[#This Row],[Date of Call]]), YEAR(calls[[#This Row],[Date of Call]])+1)</f>
        <v>2026</v>
      </c>
      <c r="J612" t="str">
        <f>TEXT(calls[[#This Row],[Date of Call]],"DDDD")</f>
        <v>Thursday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45848</v>
      </c>
      <c r="G613">
        <v>190</v>
      </c>
      <c r="H613">
        <v>3.3</v>
      </c>
      <c r="I613">
        <f>IF(MONTH(calls[[#This Row],[Date of Call]])&lt;=6, YEAR(calls[[#This Row],[Date of Call]]), YEAR(calls[[#This Row],[Date of Call]])+1)</f>
        <v>2026</v>
      </c>
      <c r="J613" t="str">
        <f>TEXT(calls[[#This Row],[Date of Call]],"DDDD")</f>
        <v>Thursday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45848</v>
      </c>
      <c r="G614">
        <v>164</v>
      </c>
      <c r="H614">
        <v>4.9000000000000004</v>
      </c>
      <c r="I614">
        <f>IF(MONTH(calls[[#This Row],[Date of Call]])&lt;=6, YEAR(calls[[#This Row],[Date of Call]]), YEAR(calls[[#This Row],[Date of Call]])+1)</f>
        <v>2026</v>
      </c>
      <c r="J614" t="str">
        <f>TEXT(calls[[#This Row],[Date of Call]],"DDDD")</f>
        <v>Thursday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45849</v>
      </c>
      <c r="G615">
        <v>76</v>
      </c>
      <c r="H615">
        <v>4.5</v>
      </c>
      <c r="I615">
        <f>IF(MONTH(calls[[#This Row],[Date of Call]])&lt;=6, YEAR(calls[[#This Row],[Date of Call]]), YEAR(calls[[#This Row],[Date of Call]])+1)</f>
        <v>2026</v>
      </c>
      <c r="J615" t="str">
        <f>TEXT(calls[[#This Row],[Date of Call]],"DDDD")</f>
        <v>Friday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45850</v>
      </c>
      <c r="G616">
        <v>87</v>
      </c>
      <c r="H616">
        <v>4.8</v>
      </c>
      <c r="I616">
        <f>IF(MONTH(calls[[#This Row],[Date of Call]])&lt;=6, YEAR(calls[[#This Row],[Date of Call]]), YEAR(calls[[#This Row],[Date of Call]])+1)</f>
        <v>2026</v>
      </c>
      <c r="J616" t="str">
        <f>TEXT(calls[[#This Row],[Date of Call]],"DDDD")</f>
        <v>Saturday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45850</v>
      </c>
      <c r="G617">
        <v>84</v>
      </c>
      <c r="H617">
        <v>4.8</v>
      </c>
      <c r="I617">
        <f>IF(MONTH(calls[[#This Row],[Date of Call]])&lt;=6, YEAR(calls[[#This Row],[Date of Call]]), YEAR(calls[[#This Row],[Date of Call]])+1)</f>
        <v>2026</v>
      </c>
      <c r="J617" t="str">
        <f>TEXT(calls[[#This Row],[Date of Call]],"DDDD")</f>
        <v>Saturday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45850</v>
      </c>
      <c r="G618">
        <v>114</v>
      </c>
      <c r="H618">
        <v>3.9</v>
      </c>
      <c r="I618">
        <f>IF(MONTH(calls[[#This Row],[Date of Call]])&lt;=6, YEAR(calls[[#This Row],[Date of Call]]), YEAR(calls[[#This Row],[Date of Call]])+1)</f>
        <v>2026</v>
      </c>
      <c r="J618" t="str">
        <f>TEXT(calls[[#This Row],[Date of Call]],"DDDD")</f>
        <v>Saturday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45851</v>
      </c>
      <c r="G619">
        <v>56</v>
      </c>
      <c r="H619">
        <v>3.9</v>
      </c>
      <c r="I619">
        <f>IF(MONTH(calls[[#This Row],[Date of Call]])&lt;=6, YEAR(calls[[#This Row],[Date of Call]]), YEAR(calls[[#This Row],[Date of Call]])+1)</f>
        <v>2026</v>
      </c>
      <c r="J619" t="str">
        <f>TEXT(calls[[#This Row],[Date of Call]],"DDDD")</f>
        <v>Sunday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45851</v>
      </c>
      <c r="G620">
        <v>27</v>
      </c>
      <c r="H620">
        <v>3.7</v>
      </c>
      <c r="I620">
        <f>IF(MONTH(calls[[#This Row],[Date of Call]])&lt;=6, YEAR(calls[[#This Row],[Date of Call]]), YEAR(calls[[#This Row],[Date of Call]])+1)</f>
        <v>2026</v>
      </c>
      <c r="J620" t="str">
        <f>TEXT(calls[[#This Row],[Date of Call]],"DDDD")</f>
        <v>Sunday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45852</v>
      </c>
      <c r="G621">
        <v>84</v>
      </c>
      <c r="H621">
        <v>4.8</v>
      </c>
      <c r="I621">
        <f>IF(MONTH(calls[[#This Row],[Date of Call]])&lt;=6, YEAR(calls[[#This Row],[Date of Call]]), YEAR(calls[[#This Row],[Date of Call]])+1)</f>
        <v>2026</v>
      </c>
      <c r="J621" t="str">
        <f>TEXT(calls[[#This Row],[Date of Call]],"DDDD")</f>
        <v>Monday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45852</v>
      </c>
      <c r="G622">
        <v>72</v>
      </c>
      <c r="H622">
        <v>3.5</v>
      </c>
      <c r="I622">
        <f>IF(MONTH(calls[[#This Row],[Date of Call]])&lt;=6, YEAR(calls[[#This Row],[Date of Call]]), YEAR(calls[[#This Row],[Date of Call]])+1)</f>
        <v>2026</v>
      </c>
      <c r="J622" t="str">
        <f>TEXT(calls[[#This Row],[Date of Call]],"DDDD")</f>
        <v>Monday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45853</v>
      </c>
      <c r="G623">
        <v>126</v>
      </c>
      <c r="H623">
        <v>4.2</v>
      </c>
      <c r="I623">
        <f>IF(MONTH(calls[[#This Row],[Date of Call]])&lt;=6, YEAR(calls[[#This Row],[Date of Call]]), YEAR(calls[[#This Row],[Date of Call]])+1)</f>
        <v>2026</v>
      </c>
      <c r="J623" t="str">
        <f>TEXT(calls[[#This Row],[Date of Call]],"DDDD")</f>
        <v>Tuesday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45854</v>
      </c>
      <c r="G624">
        <v>88</v>
      </c>
      <c r="H624">
        <v>4.9000000000000004</v>
      </c>
      <c r="I624">
        <f>IF(MONTH(calls[[#This Row],[Date of Call]])&lt;=6, YEAR(calls[[#This Row],[Date of Call]]), YEAR(calls[[#This Row],[Date of Call]])+1)</f>
        <v>2026</v>
      </c>
      <c r="J624" t="str">
        <f>TEXT(calls[[#This Row],[Date of Call]],"DDDD")</f>
        <v>Wednesday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45854</v>
      </c>
      <c r="G625">
        <v>124</v>
      </c>
      <c r="H625">
        <v>4.5999999999999996</v>
      </c>
      <c r="I625">
        <f>IF(MONTH(calls[[#This Row],[Date of Call]])&lt;=6, YEAR(calls[[#This Row],[Date of Call]]), YEAR(calls[[#This Row],[Date of Call]])+1)</f>
        <v>2026</v>
      </c>
      <c r="J625" t="str">
        <f>TEXT(calls[[#This Row],[Date of Call]],"DDDD")</f>
        <v>Wednesday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45855</v>
      </c>
      <c r="G626">
        <v>84</v>
      </c>
      <c r="H626">
        <v>2.6</v>
      </c>
      <c r="I626">
        <f>IF(MONTH(calls[[#This Row],[Date of Call]])&lt;=6, YEAR(calls[[#This Row],[Date of Call]]), YEAR(calls[[#This Row],[Date of Call]])+1)</f>
        <v>2026</v>
      </c>
      <c r="J626" t="str">
        <f>TEXT(calls[[#This Row],[Date of Call]],"DDDD")</f>
        <v>Thursday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45855</v>
      </c>
      <c r="G627">
        <v>80</v>
      </c>
      <c r="H627">
        <v>2.7</v>
      </c>
      <c r="I627">
        <f>IF(MONTH(calls[[#This Row],[Date of Call]])&lt;=6, YEAR(calls[[#This Row],[Date of Call]]), YEAR(calls[[#This Row],[Date of Call]])+1)</f>
        <v>2026</v>
      </c>
      <c r="J627" t="str">
        <f>TEXT(calls[[#This Row],[Date of Call]],"DDDD")</f>
        <v>Thursday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45856</v>
      </c>
      <c r="G628">
        <v>176</v>
      </c>
      <c r="H628">
        <v>4.7</v>
      </c>
      <c r="I628">
        <f>IF(MONTH(calls[[#This Row],[Date of Call]])&lt;=6, YEAR(calls[[#This Row],[Date of Call]]), YEAR(calls[[#This Row],[Date of Call]])+1)</f>
        <v>2026</v>
      </c>
      <c r="J628" t="str">
        <f>TEXT(calls[[#This Row],[Date of Call]],"DDDD")</f>
        <v>Friday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45857</v>
      </c>
      <c r="G629">
        <v>84</v>
      </c>
      <c r="H629">
        <v>3.9</v>
      </c>
      <c r="I629">
        <f>IF(MONTH(calls[[#This Row],[Date of Call]])&lt;=6, YEAR(calls[[#This Row],[Date of Call]]), YEAR(calls[[#This Row],[Date of Call]])+1)</f>
        <v>2026</v>
      </c>
      <c r="J629" t="str">
        <f>TEXT(calls[[#This Row],[Date of Call]],"DDDD")</f>
        <v>Saturday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45857</v>
      </c>
      <c r="G630">
        <v>164</v>
      </c>
      <c r="H630">
        <v>2.8</v>
      </c>
      <c r="I630">
        <f>IF(MONTH(calls[[#This Row],[Date of Call]])&lt;=6, YEAR(calls[[#This Row],[Date of Call]]), YEAR(calls[[#This Row],[Date of Call]])+1)</f>
        <v>2026</v>
      </c>
      <c r="J630" t="str">
        <f>TEXT(calls[[#This Row],[Date of Call]],"DDDD")</f>
        <v>Saturday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45857</v>
      </c>
      <c r="G631">
        <v>132</v>
      </c>
      <c r="H631">
        <v>3.1</v>
      </c>
      <c r="I631">
        <f>IF(MONTH(calls[[#This Row],[Date of Call]])&lt;=6, YEAR(calls[[#This Row],[Date of Call]]), YEAR(calls[[#This Row],[Date of Call]])+1)</f>
        <v>2026</v>
      </c>
      <c r="J631" t="str">
        <f>TEXT(calls[[#This Row],[Date of Call]],"DDDD")</f>
        <v>Saturday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45858</v>
      </c>
      <c r="G632">
        <v>27</v>
      </c>
      <c r="H632">
        <v>4.2</v>
      </c>
      <c r="I632">
        <f>IF(MONTH(calls[[#This Row],[Date of Call]])&lt;=6, YEAR(calls[[#This Row],[Date of Call]]), YEAR(calls[[#This Row],[Date of Call]])+1)</f>
        <v>2026</v>
      </c>
      <c r="J632" t="str">
        <f>TEXT(calls[[#This Row],[Date of Call]],"DDDD")</f>
        <v>Sunday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45858</v>
      </c>
      <c r="G633">
        <v>27</v>
      </c>
      <c r="H633">
        <v>4.3</v>
      </c>
      <c r="I633">
        <f>IF(MONTH(calls[[#This Row],[Date of Call]])&lt;=6, YEAR(calls[[#This Row],[Date of Call]]), YEAR(calls[[#This Row],[Date of Call]])+1)</f>
        <v>2026</v>
      </c>
      <c r="J633" t="str">
        <f>TEXT(calls[[#This Row],[Date of Call]],"DDDD")</f>
        <v>Sunday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45858</v>
      </c>
      <c r="G634">
        <v>20</v>
      </c>
      <c r="H634">
        <v>2.7</v>
      </c>
      <c r="I634">
        <f>IF(MONTH(calls[[#This Row],[Date of Call]])&lt;=6, YEAR(calls[[#This Row],[Date of Call]]), YEAR(calls[[#This Row],[Date of Call]])+1)</f>
        <v>2026</v>
      </c>
      <c r="J634" t="str">
        <f>TEXT(calls[[#This Row],[Date of Call]],"DDDD")</f>
        <v>Sunday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45859</v>
      </c>
      <c r="G635">
        <v>112</v>
      </c>
      <c r="H635">
        <v>2.2999999999999998</v>
      </c>
      <c r="I635">
        <f>IF(MONTH(calls[[#This Row],[Date of Call]])&lt;=6, YEAR(calls[[#This Row],[Date of Call]]), YEAR(calls[[#This Row],[Date of Call]])+1)</f>
        <v>2026</v>
      </c>
      <c r="J635" t="str">
        <f>TEXT(calls[[#This Row],[Date of Call]],"DDDD")</f>
        <v>Monday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45859</v>
      </c>
      <c r="G636">
        <v>60</v>
      </c>
      <c r="H636">
        <v>2.2999999999999998</v>
      </c>
      <c r="I636">
        <f>IF(MONTH(calls[[#This Row],[Date of Call]])&lt;=6, YEAR(calls[[#This Row],[Date of Call]]), YEAR(calls[[#This Row],[Date of Call]])+1)</f>
        <v>2026</v>
      </c>
      <c r="J636" t="str">
        <f>TEXT(calls[[#This Row],[Date of Call]],"DDDD")</f>
        <v>Monday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45860</v>
      </c>
      <c r="G637">
        <v>102</v>
      </c>
      <c r="H637">
        <v>2.9</v>
      </c>
      <c r="I637">
        <f>IF(MONTH(calls[[#This Row],[Date of Call]])&lt;=6, YEAR(calls[[#This Row],[Date of Call]]), YEAR(calls[[#This Row],[Date of Call]])+1)</f>
        <v>2026</v>
      </c>
      <c r="J637" t="str">
        <f>TEXT(calls[[#This Row],[Date of Call]],"DDDD")</f>
        <v>Tuesday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45860</v>
      </c>
      <c r="G638">
        <v>38</v>
      </c>
      <c r="H638">
        <v>4.2</v>
      </c>
      <c r="I638">
        <f>IF(MONTH(calls[[#This Row],[Date of Call]])&lt;=6, YEAR(calls[[#This Row],[Date of Call]]), YEAR(calls[[#This Row],[Date of Call]])+1)</f>
        <v>2026</v>
      </c>
      <c r="J638" t="str">
        <f>TEXT(calls[[#This Row],[Date of Call]],"DDDD")</f>
        <v>Tuesday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45860</v>
      </c>
      <c r="G639">
        <v>82</v>
      </c>
      <c r="H639">
        <v>4.5999999999999996</v>
      </c>
      <c r="I639">
        <f>IF(MONTH(calls[[#This Row],[Date of Call]])&lt;=6, YEAR(calls[[#This Row],[Date of Call]]), YEAR(calls[[#This Row],[Date of Call]])+1)</f>
        <v>2026</v>
      </c>
      <c r="J639" t="str">
        <f>TEXT(calls[[#This Row],[Date of Call]],"DDDD")</f>
        <v>Tuesday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45863</v>
      </c>
      <c r="G640">
        <v>125</v>
      </c>
      <c r="H640">
        <v>4.5</v>
      </c>
      <c r="I640">
        <f>IF(MONTH(calls[[#This Row],[Date of Call]])&lt;=6, YEAR(calls[[#This Row],[Date of Call]]), YEAR(calls[[#This Row],[Date of Call]])+1)</f>
        <v>2026</v>
      </c>
      <c r="J640" t="str">
        <f>TEXT(calls[[#This Row],[Date of Call]],"DDDD")</f>
        <v>Friday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45864</v>
      </c>
      <c r="G641">
        <v>72</v>
      </c>
      <c r="H641">
        <v>3.7</v>
      </c>
      <c r="I641">
        <f>IF(MONTH(calls[[#This Row],[Date of Call]])&lt;=6, YEAR(calls[[#This Row],[Date of Call]]), YEAR(calls[[#This Row],[Date of Call]])+1)</f>
        <v>2026</v>
      </c>
      <c r="J641" t="str">
        <f>TEXT(calls[[#This Row],[Date of Call]],"DDDD")</f>
        <v>Saturday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45864</v>
      </c>
      <c r="G642">
        <v>195</v>
      </c>
      <c r="H642">
        <v>4.0999999999999996</v>
      </c>
      <c r="I642">
        <f>IF(MONTH(calls[[#This Row],[Date of Call]])&lt;=6, YEAR(calls[[#This Row],[Date of Call]]), YEAR(calls[[#This Row],[Date of Call]])+1)</f>
        <v>2026</v>
      </c>
      <c r="J642" t="str">
        <f>TEXT(calls[[#This Row],[Date of Call]],"DDDD")</f>
        <v>Saturday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45865</v>
      </c>
      <c r="G643">
        <v>160</v>
      </c>
      <c r="H643">
        <v>3.4</v>
      </c>
      <c r="I643">
        <f>IF(MONTH(calls[[#This Row],[Date of Call]])&lt;=6, YEAR(calls[[#This Row],[Date of Call]]), YEAR(calls[[#This Row],[Date of Call]])+1)</f>
        <v>2026</v>
      </c>
      <c r="J643" t="str">
        <f>TEXT(calls[[#This Row],[Date of Call]],"DDDD")</f>
        <v>Sunday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45865</v>
      </c>
      <c r="G644">
        <v>78</v>
      </c>
      <c r="H644">
        <v>3.3</v>
      </c>
      <c r="I644">
        <f>IF(MONTH(calls[[#This Row],[Date of Call]])&lt;=6, YEAR(calls[[#This Row],[Date of Call]]), YEAR(calls[[#This Row],[Date of Call]])+1)</f>
        <v>2026</v>
      </c>
      <c r="J644" t="str">
        <f>TEXT(calls[[#This Row],[Date of Call]],"DDDD")</f>
        <v>Sunday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45866</v>
      </c>
      <c r="G645">
        <v>70</v>
      </c>
      <c r="H645">
        <v>4.4000000000000004</v>
      </c>
      <c r="I645">
        <f>IF(MONTH(calls[[#This Row],[Date of Call]])&lt;=6, YEAR(calls[[#This Row],[Date of Call]]), YEAR(calls[[#This Row],[Date of Call]])+1)</f>
        <v>2026</v>
      </c>
      <c r="J645" t="str">
        <f>TEXT(calls[[#This Row],[Date of Call]],"DDDD")</f>
        <v>Monday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45866</v>
      </c>
      <c r="G646">
        <v>105</v>
      </c>
      <c r="H646">
        <v>4.2</v>
      </c>
      <c r="I646">
        <f>IF(MONTH(calls[[#This Row],[Date of Call]])&lt;=6, YEAR(calls[[#This Row],[Date of Call]]), YEAR(calls[[#This Row],[Date of Call]])+1)</f>
        <v>2026</v>
      </c>
      <c r="J646" t="str">
        <f>TEXT(calls[[#This Row],[Date of Call]],"DDDD")</f>
        <v>Monday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45867</v>
      </c>
      <c r="G647">
        <v>78</v>
      </c>
      <c r="H647">
        <v>3.4</v>
      </c>
      <c r="I647">
        <f>IF(MONTH(calls[[#This Row],[Date of Call]])&lt;=6, YEAR(calls[[#This Row],[Date of Call]]), YEAR(calls[[#This Row],[Date of Call]])+1)</f>
        <v>2026</v>
      </c>
      <c r="J647" t="str">
        <f>TEXT(calls[[#This Row],[Date of Call]],"DDDD")</f>
        <v>Tuesday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45869</v>
      </c>
      <c r="G648">
        <v>205</v>
      </c>
      <c r="H648">
        <v>4.4000000000000004</v>
      </c>
      <c r="I648">
        <f>IF(MONTH(calls[[#This Row],[Date of Call]])&lt;=6, YEAR(calls[[#This Row],[Date of Call]]), YEAR(calls[[#This Row],[Date of Call]])+1)</f>
        <v>2026</v>
      </c>
      <c r="J648" t="str">
        <f>TEXT(calls[[#This Row],[Date of Call]],"DDDD")</f>
        <v>Thursday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45869</v>
      </c>
      <c r="G649">
        <v>78</v>
      </c>
      <c r="H649">
        <v>2.7</v>
      </c>
      <c r="I649">
        <f>IF(MONTH(calls[[#This Row],[Date of Call]])&lt;=6, YEAR(calls[[#This Row],[Date of Call]]), YEAR(calls[[#This Row],[Date of Call]])+1)</f>
        <v>2026</v>
      </c>
      <c r="J649" t="str">
        <f>TEXT(calls[[#This Row],[Date of Call]],"DDDD")</f>
        <v>Thursday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45869</v>
      </c>
      <c r="G650">
        <v>38</v>
      </c>
      <c r="H650">
        <v>4.5</v>
      </c>
      <c r="I650">
        <f>IF(MONTH(calls[[#This Row],[Date of Call]])&lt;=6, YEAR(calls[[#This Row],[Date of Call]]), YEAR(calls[[#This Row],[Date of Call]])+1)</f>
        <v>2026</v>
      </c>
      <c r="J650" t="str">
        <f>TEXT(calls[[#This Row],[Date of Call]],"DDDD")</f>
        <v>Thursday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45869</v>
      </c>
      <c r="G651">
        <v>92</v>
      </c>
      <c r="H651">
        <v>1.7</v>
      </c>
      <c r="I651">
        <f>IF(MONTH(calls[[#This Row],[Date of Call]])&lt;=6, YEAR(calls[[#This Row],[Date of Call]]), YEAR(calls[[#This Row],[Date of Call]])+1)</f>
        <v>2026</v>
      </c>
      <c r="J651" t="str">
        <f>TEXT(calls[[#This Row],[Date of Call]],"DDDD")</f>
        <v>Thursday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45869</v>
      </c>
      <c r="G652">
        <v>36</v>
      </c>
      <c r="H652">
        <v>4.7</v>
      </c>
      <c r="I652">
        <f>IF(MONTH(calls[[#This Row],[Date of Call]])&lt;=6, YEAR(calls[[#This Row],[Date of Call]]), YEAR(calls[[#This Row],[Date of Call]])+1)</f>
        <v>2026</v>
      </c>
      <c r="J652" t="str">
        <f>TEXT(calls[[#This Row],[Date of Call]],"DDDD")</f>
        <v>Thursday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45869</v>
      </c>
      <c r="G653">
        <v>76</v>
      </c>
      <c r="H653">
        <v>4.4000000000000004</v>
      </c>
      <c r="I653">
        <f>IF(MONTH(calls[[#This Row],[Date of Call]])&lt;=6, YEAR(calls[[#This Row],[Date of Call]]), YEAR(calls[[#This Row],[Date of Call]])+1)</f>
        <v>2026</v>
      </c>
      <c r="J653" t="str">
        <f>TEXT(calls[[#This Row],[Date of Call]],"DDDD")</f>
        <v>Thursday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45871</v>
      </c>
      <c r="G654">
        <v>170</v>
      </c>
      <c r="H654">
        <v>3.5</v>
      </c>
      <c r="I654">
        <f>IF(MONTH(calls[[#This Row],[Date of Call]])&lt;=6, YEAR(calls[[#This Row],[Date of Call]]), YEAR(calls[[#This Row],[Date of Call]])+1)</f>
        <v>2026</v>
      </c>
      <c r="J654" t="str">
        <f>TEXT(calls[[#This Row],[Date of Call]],"DDDD")</f>
        <v>Saturday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45872</v>
      </c>
      <c r="G655">
        <v>117</v>
      </c>
      <c r="H655">
        <v>4.7</v>
      </c>
      <c r="I655">
        <f>IF(MONTH(calls[[#This Row],[Date of Call]])&lt;=6, YEAR(calls[[#This Row],[Date of Call]]), YEAR(calls[[#This Row],[Date of Call]])+1)</f>
        <v>2026</v>
      </c>
      <c r="J655" t="str">
        <f>TEXT(calls[[#This Row],[Date of Call]],"DDDD")</f>
        <v>Sunday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45872</v>
      </c>
      <c r="G656">
        <v>20</v>
      </c>
      <c r="H656">
        <v>4.3</v>
      </c>
      <c r="I656">
        <f>IF(MONTH(calls[[#This Row],[Date of Call]])&lt;=6, YEAR(calls[[#This Row],[Date of Call]]), YEAR(calls[[#This Row],[Date of Call]])+1)</f>
        <v>2026</v>
      </c>
      <c r="J656" t="str">
        <f>TEXT(calls[[#This Row],[Date of Call]],"DDDD")</f>
        <v>Sunday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45872</v>
      </c>
      <c r="G657">
        <v>99</v>
      </c>
      <c r="H657">
        <v>4.0999999999999996</v>
      </c>
      <c r="I657">
        <f>IF(MONTH(calls[[#This Row],[Date of Call]])&lt;=6, YEAR(calls[[#This Row],[Date of Call]]), YEAR(calls[[#This Row],[Date of Call]])+1)</f>
        <v>2026</v>
      </c>
      <c r="J657" t="str">
        <f>TEXT(calls[[#This Row],[Date of Call]],"DDDD")</f>
        <v>Sunday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45873</v>
      </c>
      <c r="G658">
        <v>105</v>
      </c>
      <c r="H658">
        <v>2.9</v>
      </c>
      <c r="I658">
        <f>IF(MONTH(calls[[#This Row],[Date of Call]])&lt;=6, YEAR(calls[[#This Row],[Date of Call]]), YEAR(calls[[#This Row],[Date of Call]])+1)</f>
        <v>2026</v>
      </c>
      <c r="J658" t="str">
        <f>TEXT(calls[[#This Row],[Date of Call]],"DDDD")</f>
        <v>Monday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45873</v>
      </c>
      <c r="G659">
        <v>195</v>
      </c>
      <c r="H659">
        <v>3.4</v>
      </c>
      <c r="I659">
        <f>IF(MONTH(calls[[#This Row],[Date of Call]])&lt;=6, YEAR(calls[[#This Row],[Date of Call]]), YEAR(calls[[#This Row],[Date of Call]])+1)</f>
        <v>2026</v>
      </c>
      <c r="J659" t="str">
        <f>TEXT(calls[[#This Row],[Date of Call]],"DDDD")</f>
        <v>Monday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45874</v>
      </c>
      <c r="G660">
        <v>152</v>
      </c>
      <c r="H660">
        <v>4.5999999999999996</v>
      </c>
      <c r="I660">
        <f>IF(MONTH(calls[[#This Row],[Date of Call]])&lt;=6, YEAR(calls[[#This Row],[Date of Call]]), YEAR(calls[[#This Row],[Date of Call]])+1)</f>
        <v>2026</v>
      </c>
      <c r="J660" t="str">
        <f>TEXT(calls[[#This Row],[Date of Call]],"DDDD")</f>
        <v>Tuesday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45875</v>
      </c>
      <c r="G661">
        <v>195</v>
      </c>
      <c r="H661">
        <v>4.9000000000000004</v>
      </c>
      <c r="I661">
        <f>IF(MONTH(calls[[#This Row],[Date of Call]])&lt;=6, YEAR(calls[[#This Row],[Date of Call]]), YEAR(calls[[#This Row],[Date of Call]])+1)</f>
        <v>2026</v>
      </c>
      <c r="J661" t="str">
        <f>TEXT(calls[[#This Row],[Date of Call]],"DDDD")</f>
        <v>Wednesday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45875</v>
      </c>
      <c r="G662">
        <v>70</v>
      </c>
      <c r="H662">
        <v>3.6</v>
      </c>
      <c r="I662">
        <f>IF(MONTH(calls[[#This Row],[Date of Call]])&lt;=6, YEAR(calls[[#This Row],[Date of Call]]), YEAR(calls[[#This Row],[Date of Call]])+1)</f>
        <v>2026</v>
      </c>
      <c r="J662" t="str">
        <f>TEXT(calls[[#This Row],[Date of Call]],"DDDD")</f>
        <v>Wednesday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45875</v>
      </c>
      <c r="G663">
        <v>22</v>
      </c>
      <c r="H663">
        <v>3.5</v>
      </c>
      <c r="I663">
        <f>IF(MONTH(calls[[#This Row],[Date of Call]])&lt;=6, YEAR(calls[[#This Row],[Date of Call]]), YEAR(calls[[#This Row],[Date of Call]])+1)</f>
        <v>2026</v>
      </c>
      <c r="J663" t="str">
        <f>TEXT(calls[[#This Row],[Date of Call]],"DDDD")</f>
        <v>Wednesday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45876</v>
      </c>
      <c r="G664">
        <v>40</v>
      </c>
      <c r="H664">
        <v>3.3</v>
      </c>
      <c r="I664">
        <f>IF(MONTH(calls[[#This Row],[Date of Call]])&lt;=6, YEAR(calls[[#This Row],[Date of Call]]), YEAR(calls[[#This Row],[Date of Call]])+1)</f>
        <v>2026</v>
      </c>
      <c r="J664" t="str">
        <f>TEXT(calls[[#This Row],[Date of Call]],"DDDD")</f>
        <v>Thursday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45877</v>
      </c>
      <c r="G665">
        <v>54</v>
      </c>
      <c r="H665">
        <v>3.8</v>
      </c>
      <c r="I665">
        <f>IF(MONTH(calls[[#This Row],[Date of Call]])&lt;=6, YEAR(calls[[#This Row],[Date of Call]]), YEAR(calls[[#This Row],[Date of Call]])+1)</f>
        <v>2026</v>
      </c>
      <c r="J665" t="str">
        <f>TEXT(calls[[#This Row],[Date of Call]],"DDDD")</f>
        <v>Friday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45877</v>
      </c>
      <c r="G666">
        <v>60</v>
      </c>
      <c r="H666">
        <v>2.5</v>
      </c>
      <c r="I666">
        <f>IF(MONTH(calls[[#This Row],[Date of Call]])&lt;=6, YEAR(calls[[#This Row],[Date of Call]]), YEAR(calls[[#This Row],[Date of Call]])+1)</f>
        <v>2026</v>
      </c>
      <c r="J666" t="str">
        <f>TEXT(calls[[#This Row],[Date of Call]],"DDDD")</f>
        <v>Friday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45879</v>
      </c>
      <c r="G667">
        <v>58</v>
      </c>
      <c r="H667">
        <v>4.5999999999999996</v>
      </c>
      <c r="I667">
        <f>IF(MONTH(calls[[#This Row],[Date of Call]])&lt;=6, YEAR(calls[[#This Row],[Date of Call]]), YEAR(calls[[#This Row],[Date of Call]])+1)</f>
        <v>2026</v>
      </c>
      <c r="J667" t="str">
        <f>TEXT(calls[[#This Row],[Date of Call]],"DDDD")</f>
        <v>Sunday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45879</v>
      </c>
      <c r="G668">
        <v>220</v>
      </c>
      <c r="H668">
        <v>4.7</v>
      </c>
      <c r="I668">
        <f>IF(MONTH(calls[[#This Row],[Date of Call]])&lt;=6, YEAR(calls[[#This Row],[Date of Call]]), YEAR(calls[[#This Row],[Date of Call]])+1)</f>
        <v>2026</v>
      </c>
      <c r="J668" t="str">
        <f>TEXT(calls[[#This Row],[Date of Call]],"DDDD")</f>
        <v>Sunday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45879</v>
      </c>
      <c r="G669">
        <v>27</v>
      </c>
      <c r="H669">
        <v>3.6</v>
      </c>
      <c r="I669">
        <f>IF(MONTH(calls[[#This Row],[Date of Call]])&lt;=6, YEAR(calls[[#This Row],[Date of Call]]), YEAR(calls[[#This Row],[Date of Call]])+1)</f>
        <v>2026</v>
      </c>
      <c r="J669" t="str">
        <f>TEXT(calls[[#This Row],[Date of Call]],"DDDD")</f>
        <v>Sunday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45881</v>
      </c>
      <c r="G670">
        <v>26</v>
      </c>
      <c r="H670">
        <v>4.3</v>
      </c>
      <c r="I670">
        <f>IF(MONTH(calls[[#This Row],[Date of Call]])&lt;=6, YEAR(calls[[#This Row],[Date of Call]]), YEAR(calls[[#This Row],[Date of Call]])+1)</f>
        <v>2026</v>
      </c>
      <c r="J670" t="str">
        <f>TEXT(calls[[#This Row],[Date of Call]],"DDDD")</f>
        <v>Tuesday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45882</v>
      </c>
      <c r="G671">
        <v>160</v>
      </c>
      <c r="H671">
        <v>4.7</v>
      </c>
      <c r="I671">
        <f>IF(MONTH(calls[[#This Row],[Date of Call]])&lt;=6, YEAR(calls[[#This Row],[Date of Call]]), YEAR(calls[[#This Row],[Date of Call]])+1)</f>
        <v>2026</v>
      </c>
      <c r="J671" t="str">
        <f>TEXT(calls[[#This Row],[Date of Call]],"DDDD")</f>
        <v>Wednesday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45882</v>
      </c>
      <c r="G672">
        <v>200</v>
      </c>
      <c r="H672">
        <v>4.9000000000000004</v>
      </c>
      <c r="I672">
        <f>IF(MONTH(calls[[#This Row],[Date of Call]])&lt;=6, YEAR(calls[[#This Row],[Date of Call]]), YEAR(calls[[#This Row],[Date of Call]])+1)</f>
        <v>2026</v>
      </c>
      <c r="J672" t="str">
        <f>TEXT(calls[[#This Row],[Date of Call]],"DDDD")</f>
        <v>Wednesday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45885</v>
      </c>
      <c r="G673">
        <v>135</v>
      </c>
      <c r="H673">
        <v>4.9000000000000004</v>
      </c>
      <c r="I673">
        <f>IF(MONTH(calls[[#This Row],[Date of Call]])&lt;=6, YEAR(calls[[#This Row],[Date of Call]]), YEAR(calls[[#This Row],[Date of Call]])+1)</f>
        <v>2026</v>
      </c>
      <c r="J673" t="str">
        <f>TEXT(calls[[#This Row],[Date of Call]],"DDDD")</f>
        <v>Saturday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45886</v>
      </c>
      <c r="G674">
        <v>22</v>
      </c>
      <c r="H674">
        <v>1.9</v>
      </c>
      <c r="I674">
        <f>IF(MONTH(calls[[#This Row],[Date of Call]])&lt;=6, YEAR(calls[[#This Row],[Date of Call]]), YEAR(calls[[#This Row],[Date of Call]])+1)</f>
        <v>2026</v>
      </c>
      <c r="J674" t="str">
        <f>TEXT(calls[[#This Row],[Date of Call]],"DDDD")</f>
        <v>Sunday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45887</v>
      </c>
      <c r="G675">
        <v>164</v>
      </c>
      <c r="H675">
        <v>4.5</v>
      </c>
      <c r="I675">
        <f>IF(MONTH(calls[[#This Row],[Date of Call]])&lt;=6, YEAR(calls[[#This Row],[Date of Call]]), YEAR(calls[[#This Row],[Date of Call]])+1)</f>
        <v>2026</v>
      </c>
      <c r="J675" t="str">
        <f>TEXT(calls[[#This Row],[Date of Call]],"DDDD")</f>
        <v>Monday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45887</v>
      </c>
      <c r="G676">
        <v>21</v>
      </c>
      <c r="H676">
        <v>4.9000000000000004</v>
      </c>
      <c r="I676">
        <f>IF(MONTH(calls[[#This Row],[Date of Call]])&lt;=6, YEAR(calls[[#This Row],[Date of Call]]), YEAR(calls[[#This Row],[Date of Call]])+1)</f>
        <v>2026</v>
      </c>
      <c r="J676" t="str">
        <f>TEXT(calls[[#This Row],[Date of Call]],"DDDD")</f>
        <v>Monday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45888</v>
      </c>
      <c r="G677">
        <v>120</v>
      </c>
      <c r="H677">
        <v>4.5</v>
      </c>
      <c r="I677">
        <f>IF(MONTH(calls[[#This Row],[Date of Call]])&lt;=6, YEAR(calls[[#This Row],[Date of Call]]), YEAR(calls[[#This Row],[Date of Call]])+1)</f>
        <v>2026</v>
      </c>
      <c r="J677" t="str">
        <f>TEXT(calls[[#This Row],[Date of Call]],"DDDD")</f>
        <v>Tuesday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45888</v>
      </c>
      <c r="G678">
        <v>93</v>
      </c>
      <c r="H678">
        <v>2.7</v>
      </c>
      <c r="I678">
        <f>IF(MONTH(calls[[#This Row],[Date of Call]])&lt;=6, YEAR(calls[[#This Row],[Date of Call]]), YEAR(calls[[#This Row],[Date of Call]])+1)</f>
        <v>2026</v>
      </c>
      <c r="J678" t="str">
        <f>TEXT(calls[[#This Row],[Date of Call]],"DDDD")</f>
        <v>Tuesday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45888</v>
      </c>
      <c r="G679">
        <v>135</v>
      </c>
      <c r="H679">
        <v>2.1</v>
      </c>
      <c r="I679">
        <f>IF(MONTH(calls[[#This Row],[Date of Call]])&lt;=6, YEAR(calls[[#This Row],[Date of Call]]), YEAR(calls[[#This Row],[Date of Call]])+1)</f>
        <v>2026</v>
      </c>
      <c r="J679" t="str">
        <f>TEXT(calls[[#This Row],[Date of Call]],"DDDD")</f>
        <v>Tuesday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45888</v>
      </c>
      <c r="G680">
        <v>210</v>
      </c>
      <c r="H680">
        <v>4.2</v>
      </c>
      <c r="I680">
        <f>IF(MONTH(calls[[#This Row],[Date of Call]])&lt;=6, YEAR(calls[[#This Row],[Date of Call]]), YEAR(calls[[#This Row],[Date of Call]])+1)</f>
        <v>2026</v>
      </c>
      <c r="J680" t="str">
        <f>TEXT(calls[[#This Row],[Date of Call]],"DDDD")</f>
        <v>Tuesday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45889</v>
      </c>
      <c r="G681">
        <v>29</v>
      </c>
      <c r="H681">
        <v>4.7</v>
      </c>
      <c r="I681">
        <f>IF(MONTH(calls[[#This Row],[Date of Call]])&lt;=6, YEAR(calls[[#This Row],[Date of Call]]), YEAR(calls[[#This Row],[Date of Call]])+1)</f>
        <v>2026</v>
      </c>
      <c r="J681" t="str">
        <f>TEXT(calls[[#This Row],[Date of Call]],"DDDD")</f>
        <v>Wednesday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45889</v>
      </c>
      <c r="G682">
        <v>111</v>
      </c>
      <c r="H682">
        <v>3.9</v>
      </c>
      <c r="I682">
        <f>IF(MONTH(calls[[#This Row],[Date of Call]])&lt;=6, YEAR(calls[[#This Row],[Date of Call]]), YEAR(calls[[#This Row],[Date of Call]])+1)</f>
        <v>2026</v>
      </c>
      <c r="J682" t="str">
        <f>TEXT(calls[[#This Row],[Date of Call]],"DDDD")</f>
        <v>Wednesday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45890</v>
      </c>
      <c r="G683">
        <v>63</v>
      </c>
      <c r="H683">
        <v>4.0999999999999996</v>
      </c>
      <c r="I683">
        <f>IF(MONTH(calls[[#This Row],[Date of Call]])&lt;=6, YEAR(calls[[#This Row],[Date of Call]]), YEAR(calls[[#This Row],[Date of Call]])+1)</f>
        <v>2026</v>
      </c>
      <c r="J683" t="str">
        <f>TEXT(calls[[#This Row],[Date of Call]],"DDDD")</f>
        <v>Thursday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45890</v>
      </c>
      <c r="G684">
        <v>44</v>
      </c>
      <c r="H684">
        <v>3.8</v>
      </c>
      <c r="I684">
        <f>IF(MONTH(calls[[#This Row],[Date of Call]])&lt;=6, YEAR(calls[[#This Row],[Date of Call]]), YEAR(calls[[#This Row],[Date of Call]])+1)</f>
        <v>2026</v>
      </c>
      <c r="J684" t="str">
        <f>TEXT(calls[[#This Row],[Date of Call]],"DDDD")</f>
        <v>Thursday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45894</v>
      </c>
      <c r="G685">
        <v>120</v>
      </c>
      <c r="H685">
        <v>1.8</v>
      </c>
      <c r="I685">
        <f>IF(MONTH(calls[[#This Row],[Date of Call]])&lt;=6, YEAR(calls[[#This Row],[Date of Call]]), YEAR(calls[[#This Row],[Date of Call]])+1)</f>
        <v>2026</v>
      </c>
      <c r="J685" t="str">
        <f>TEXT(calls[[#This Row],[Date of Call]],"DDDD")</f>
        <v>Monday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45894</v>
      </c>
      <c r="G686">
        <v>120</v>
      </c>
      <c r="H686">
        <v>4.0999999999999996</v>
      </c>
      <c r="I686">
        <f>IF(MONTH(calls[[#This Row],[Date of Call]])&lt;=6, YEAR(calls[[#This Row],[Date of Call]]), YEAR(calls[[#This Row],[Date of Call]])+1)</f>
        <v>2026</v>
      </c>
      <c r="J686" t="str">
        <f>TEXT(calls[[#This Row],[Date of Call]],"DDDD")</f>
        <v>Monday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45893</v>
      </c>
      <c r="G687">
        <v>40</v>
      </c>
      <c r="H687">
        <v>4.4000000000000004</v>
      </c>
      <c r="I687">
        <f>IF(MONTH(calls[[#This Row],[Date of Call]])&lt;=6, YEAR(calls[[#This Row],[Date of Call]]), YEAR(calls[[#This Row],[Date of Call]])+1)</f>
        <v>2026</v>
      </c>
      <c r="J687" t="str">
        <f>TEXT(calls[[#This Row],[Date of Call]],"DDDD")</f>
        <v>Sunday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45893</v>
      </c>
      <c r="G688">
        <v>160</v>
      </c>
      <c r="H688">
        <v>4.0999999999999996</v>
      </c>
      <c r="I688">
        <f>IF(MONTH(calls[[#This Row],[Date of Call]])&lt;=6, YEAR(calls[[#This Row],[Date of Call]]), YEAR(calls[[#This Row],[Date of Call]])+1)</f>
        <v>2026</v>
      </c>
      <c r="J688" t="str">
        <f>TEXT(calls[[#This Row],[Date of Call]],"DDDD")</f>
        <v>Sunday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45894</v>
      </c>
      <c r="G689">
        <v>44</v>
      </c>
      <c r="H689">
        <v>3.8</v>
      </c>
      <c r="I689">
        <f>IF(MONTH(calls[[#This Row],[Date of Call]])&lt;=6, YEAR(calls[[#This Row],[Date of Call]]), YEAR(calls[[#This Row],[Date of Call]])+1)</f>
        <v>2026</v>
      </c>
      <c r="J689" t="str">
        <f>TEXT(calls[[#This Row],[Date of Call]],"DDDD")</f>
        <v>Monday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45894</v>
      </c>
      <c r="G690">
        <v>80</v>
      </c>
      <c r="H690">
        <v>4.3</v>
      </c>
      <c r="I690">
        <f>IF(MONTH(calls[[#This Row],[Date of Call]])&lt;=6, YEAR(calls[[#This Row],[Date of Call]]), YEAR(calls[[#This Row],[Date of Call]])+1)</f>
        <v>2026</v>
      </c>
      <c r="J690" t="str">
        <f>TEXT(calls[[#This Row],[Date of Call]],"DDDD")</f>
        <v>Monday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45895</v>
      </c>
      <c r="G691">
        <v>66</v>
      </c>
      <c r="H691">
        <v>4.5</v>
      </c>
      <c r="I691">
        <f>IF(MONTH(calls[[#This Row],[Date of Call]])&lt;=6, YEAR(calls[[#This Row],[Date of Call]]), YEAR(calls[[#This Row],[Date of Call]])+1)</f>
        <v>2026</v>
      </c>
      <c r="J691" t="str">
        <f>TEXT(calls[[#This Row],[Date of Call]],"DDDD")</f>
        <v>Tuesday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45895</v>
      </c>
      <c r="G692">
        <v>82</v>
      </c>
      <c r="H692">
        <v>3.4</v>
      </c>
      <c r="I692">
        <f>IF(MONTH(calls[[#This Row],[Date of Call]])&lt;=6, YEAR(calls[[#This Row],[Date of Call]]), YEAR(calls[[#This Row],[Date of Call]])+1)</f>
        <v>2026</v>
      </c>
      <c r="J692" t="str">
        <f>TEXT(calls[[#This Row],[Date of Call]],"DDDD")</f>
        <v>Tuesday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45895</v>
      </c>
      <c r="G693">
        <v>66</v>
      </c>
      <c r="H693">
        <v>4.8</v>
      </c>
      <c r="I693">
        <f>IF(MONTH(calls[[#This Row],[Date of Call]])&lt;=6, YEAR(calls[[#This Row],[Date of Call]]), YEAR(calls[[#This Row],[Date of Call]])+1)</f>
        <v>2026</v>
      </c>
      <c r="J693" t="str">
        <f>TEXT(calls[[#This Row],[Date of Call]],"DDDD")</f>
        <v>Tuesday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45895</v>
      </c>
      <c r="G694">
        <v>92</v>
      </c>
      <c r="H694">
        <v>4.9000000000000004</v>
      </c>
      <c r="I694">
        <f>IF(MONTH(calls[[#This Row],[Date of Call]])&lt;=6, YEAR(calls[[#This Row],[Date of Call]]), YEAR(calls[[#This Row],[Date of Call]])+1)</f>
        <v>2026</v>
      </c>
      <c r="J694" t="str">
        <f>TEXT(calls[[#This Row],[Date of Call]],"DDDD")</f>
        <v>Tuesday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45896</v>
      </c>
      <c r="G695">
        <v>104</v>
      </c>
      <c r="H695">
        <v>4.7</v>
      </c>
      <c r="I695">
        <f>IF(MONTH(calls[[#This Row],[Date of Call]])&lt;=6, YEAR(calls[[#This Row],[Date of Call]]), YEAR(calls[[#This Row],[Date of Call]])+1)</f>
        <v>2026</v>
      </c>
      <c r="J695" t="str">
        <f>TEXT(calls[[#This Row],[Date of Call]],"DDDD")</f>
        <v>Wednesday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45896</v>
      </c>
      <c r="G696">
        <v>105</v>
      </c>
      <c r="H696">
        <v>3.3</v>
      </c>
      <c r="I696">
        <f>IF(MONTH(calls[[#This Row],[Date of Call]])&lt;=6, YEAR(calls[[#This Row],[Date of Call]]), YEAR(calls[[#This Row],[Date of Call]])+1)</f>
        <v>2026</v>
      </c>
      <c r="J696" t="str">
        <f>TEXT(calls[[#This Row],[Date of Call]],"DDDD")</f>
        <v>Wednesday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45896</v>
      </c>
      <c r="G697">
        <v>100</v>
      </c>
      <c r="H697">
        <v>2.8</v>
      </c>
      <c r="I697">
        <f>IF(MONTH(calls[[#This Row],[Date of Call]])&lt;=6, YEAR(calls[[#This Row],[Date of Call]]), YEAR(calls[[#This Row],[Date of Call]])+1)</f>
        <v>2026</v>
      </c>
      <c r="J697" t="str">
        <f>TEXT(calls[[#This Row],[Date of Call]],"DDDD")</f>
        <v>Wednesday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45896</v>
      </c>
      <c r="G698">
        <v>90</v>
      </c>
      <c r="H698">
        <v>4.0999999999999996</v>
      </c>
      <c r="I698">
        <f>IF(MONTH(calls[[#This Row],[Date of Call]])&lt;=6, YEAR(calls[[#This Row],[Date of Call]]), YEAR(calls[[#This Row],[Date of Call]])+1)</f>
        <v>2026</v>
      </c>
      <c r="J698" t="str">
        <f>TEXT(calls[[#This Row],[Date of Call]],"DDDD")</f>
        <v>Wednesday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45896</v>
      </c>
      <c r="G699">
        <v>110</v>
      </c>
      <c r="H699">
        <v>3.5</v>
      </c>
      <c r="I699">
        <f>IF(MONTH(calls[[#This Row],[Date of Call]])&lt;=6, YEAR(calls[[#This Row],[Date of Call]]), YEAR(calls[[#This Row],[Date of Call]])+1)</f>
        <v>2026</v>
      </c>
      <c r="J699" t="str">
        <f>TEXT(calls[[#This Row],[Date of Call]],"DDDD")</f>
        <v>Wednesday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45898</v>
      </c>
      <c r="G700">
        <v>68</v>
      </c>
      <c r="H700">
        <v>2.2999999999999998</v>
      </c>
      <c r="I700">
        <f>IF(MONTH(calls[[#This Row],[Date of Call]])&lt;=6, YEAR(calls[[#This Row],[Date of Call]]), YEAR(calls[[#This Row],[Date of Call]])+1)</f>
        <v>2026</v>
      </c>
      <c r="J700" t="str">
        <f>TEXT(calls[[#This Row],[Date of Call]],"DDDD")</f>
        <v>Friday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45899</v>
      </c>
      <c r="G701">
        <v>210</v>
      </c>
      <c r="H701">
        <v>4.0999999999999996</v>
      </c>
      <c r="I701">
        <f>IF(MONTH(calls[[#This Row],[Date of Call]])&lt;=6, YEAR(calls[[#This Row],[Date of Call]]), YEAR(calls[[#This Row],[Date of Call]])+1)</f>
        <v>2026</v>
      </c>
      <c r="J701" t="str">
        <f>TEXT(calls[[#This Row],[Date of Call]],"DDDD")</f>
        <v>Saturday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45899</v>
      </c>
      <c r="G702">
        <v>111</v>
      </c>
      <c r="H702">
        <v>4.3</v>
      </c>
      <c r="I702">
        <f>IF(MONTH(calls[[#This Row],[Date of Call]])&lt;=6, YEAR(calls[[#This Row],[Date of Call]]), YEAR(calls[[#This Row],[Date of Call]])+1)</f>
        <v>2026</v>
      </c>
      <c r="J702" t="str">
        <f>TEXT(calls[[#This Row],[Date of Call]],"DDDD")</f>
        <v>Saturday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45900</v>
      </c>
      <c r="G703">
        <v>45</v>
      </c>
      <c r="H703">
        <v>4.9000000000000004</v>
      </c>
      <c r="I703">
        <f>IF(MONTH(calls[[#This Row],[Date of Call]])&lt;=6, YEAR(calls[[#This Row],[Date of Call]]), YEAR(calls[[#This Row],[Date of Call]])+1)</f>
        <v>2026</v>
      </c>
      <c r="J703" t="str">
        <f>TEXT(calls[[#This Row],[Date of Call]],"DDDD")</f>
        <v>Sunday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45901</v>
      </c>
      <c r="G704">
        <v>132</v>
      </c>
      <c r="H704">
        <v>4</v>
      </c>
      <c r="I704">
        <f>IF(MONTH(calls[[#This Row],[Date of Call]])&lt;=6, YEAR(calls[[#This Row],[Date of Call]]), YEAR(calls[[#This Row],[Date of Call]])+1)</f>
        <v>2026</v>
      </c>
      <c r="J704" t="str">
        <f>TEXT(calls[[#This Row],[Date of Call]],"DDDD")</f>
        <v>Monday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45901</v>
      </c>
      <c r="G705">
        <v>20</v>
      </c>
      <c r="H705">
        <v>4.7</v>
      </c>
      <c r="I705">
        <f>IF(MONTH(calls[[#This Row],[Date of Call]])&lt;=6, YEAR(calls[[#This Row],[Date of Call]]), YEAR(calls[[#This Row],[Date of Call]])+1)</f>
        <v>2026</v>
      </c>
      <c r="J705" t="str">
        <f>TEXT(calls[[#This Row],[Date of Call]],"DDDD")</f>
        <v>Monday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45901</v>
      </c>
      <c r="G706">
        <v>36</v>
      </c>
      <c r="H706">
        <v>3.4</v>
      </c>
      <c r="I706">
        <f>IF(MONTH(calls[[#This Row],[Date of Call]])&lt;=6, YEAR(calls[[#This Row],[Date of Call]]), YEAR(calls[[#This Row],[Date of Call]])+1)</f>
        <v>2026</v>
      </c>
      <c r="J706" t="str">
        <f>TEXT(calls[[#This Row],[Date of Call]],"DDDD")</f>
        <v>Monday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45903</v>
      </c>
      <c r="G707">
        <v>72</v>
      </c>
      <c r="H707">
        <v>4</v>
      </c>
      <c r="I707">
        <f>IF(MONTH(calls[[#This Row],[Date of Call]])&lt;=6, YEAR(calls[[#This Row],[Date of Call]]), YEAR(calls[[#This Row],[Date of Call]])+1)</f>
        <v>2026</v>
      </c>
      <c r="J707" t="str">
        <f>TEXT(calls[[#This Row],[Date of Call]],"DDDD")</f>
        <v>Wednesday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45903</v>
      </c>
      <c r="G708">
        <v>63</v>
      </c>
      <c r="H708">
        <v>4.5</v>
      </c>
      <c r="I708">
        <f>IF(MONTH(calls[[#This Row],[Date of Call]])&lt;=6, YEAR(calls[[#This Row],[Date of Call]]), YEAR(calls[[#This Row],[Date of Call]])+1)</f>
        <v>2026</v>
      </c>
      <c r="J708" t="str">
        <f>TEXT(calls[[#This Row],[Date of Call]],"DDDD")</f>
        <v>Wednesday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45904</v>
      </c>
      <c r="G709">
        <v>44</v>
      </c>
      <c r="H709">
        <v>4.5</v>
      </c>
      <c r="I709">
        <f>IF(MONTH(calls[[#This Row],[Date of Call]])&lt;=6, YEAR(calls[[#This Row],[Date of Call]]), YEAR(calls[[#This Row],[Date of Call]])+1)</f>
        <v>2026</v>
      </c>
      <c r="J709" t="str">
        <f>TEXT(calls[[#This Row],[Date of Call]],"DDDD")</f>
        <v>Thursday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45904</v>
      </c>
      <c r="G710">
        <v>132</v>
      </c>
      <c r="H710">
        <v>4.9000000000000004</v>
      </c>
      <c r="I710">
        <f>IF(MONTH(calls[[#This Row],[Date of Call]])&lt;=6, YEAR(calls[[#This Row],[Date of Call]]), YEAR(calls[[#This Row],[Date of Call]])+1)</f>
        <v>2026</v>
      </c>
      <c r="J710" t="str">
        <f>TEXT(calls[[#This Row],[Date of Call]],"DDDD")</f>
        <v>Thursday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45904</v>
      </c>
      <c r="G711">
        <v>46</v>
      </c>
      <c r="H711">
        <v>4.4000000000000004</v>
      </c>
      <c r="I711">
        <f>IF(MONTH(calls[[#This Row],[Date of Call]])&lt;=6, YEAR(calls[[#This Row],[Date of Call]]), YEAR(calls[[#This Row],[Date of Call]])+1)</f>
        <v>2026</v>
      </c>
      <c r="J711" t="str">
        <f>TEXT(calls[[#This Row],[Date of Call]],"DDDD")</f>
        <v>Thursday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45904</v>
      </c>
      <c r="G712">
        <v>96</v>
      </c>
      <c r="H712">
        <v>2.9</v>
      </c>
      <c r="I712">
        <f>IF(MONTH(calls[[#This Row],[Date of Call]])&lt;=6, YEAR(calls[[#This Row],[Date of Call]]), YEAR(calls[[#This Row],[Date of Call]])+1)</f>
        <v>2026</v>
      </c>
      <c r="J712" t="str">
        <f>TEXT(calls[[#This Row],[Date of Call]],"DDDD")</f>
        <v>Thursday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45905</v>
      </c>
      <c r="G713">
        <v>75</v>
      </c>
      <c r="H713">
        <v>4.4000000000000004</v>
      </c>
      <c r="I713">
        <f>IF(MONTH(calls[[#This Row],[Date of Call]])&lt;=6, YEAR(calls[[#This Row],[Date of Call]]), YEAR(calls[[#This Row],[Date of Call]])+1)</f>
        <v>2026</v>
      </c>
      <c r="J713" t="str">
        <f>TEXT(calls[[#This Row],[Date of Call]],"DDDD")</f>
        <v>Friday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45906</v>
      </c>
      <c r="G714">
        <v>88</v>
      </c>
      <c r="H714">
        <v>4.3</v>
      </c>
      <c r="I714">
        <f>IF(MONTH(calls[[#This Row],[Date of Call]])&lt;=6, YEAR(calls[[#This Row],[Date of Call]]), YEAR(calls[[#This Row],[Date of Call]])+1)</f>
        <v>2026</v>
      </c>
      <c r="J714" t="str">
        <f>TEXT(calls[[#This Row],[Date of Call]],"DDDD")</f>
        <v>Saturday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45906</v>
      </c>
      <c r="G715">
        <v>24</v>
      </c>
      <c r="H715">
        <v>4.7</v>
      </c>
      <c r="I715">
        <f>IF(MONTH(calls[[#This Row],[Date of Call]])&lt;=6, YEAR(calls[[#This Row],[Date of Call]]), YEAR(calls[[#This Row],[Date of Call]])+1)</f>
        <v>2026</v>
      </c>
      <c r="J715" t="str">
        <f>TEXT(calls[[#This Row],[Date of Call]],"DDDD")</f>
        <v>Saturday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45906</v>
      </c>
      <c r="G716">
        <v>96</v>
      </c>
      <c r="H716">
        <v>3.2</v>
      </c>
      <c r="I716">
        <f>IF(MONTH(calls[[#This Row],[Date of Call]])&lt;=6, YEAR(calls[[#This Row],[Date of Call]]), YEAR(calls[[#This Row],[Date of Call]])+1)</f>
        <v>2026</v>
      </c>
      <c r="J716" t="str">
        <f>TEXT(calls[[#This Row],[Date of Call]],"DDDD")</f>
        <v>Saturday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45907</v>
      </c>
      <c r="G717">
        <v>124</v>
      </c>
      <c r="H717">
        <v>2.2999999999999998</v>
      </c>
      <c r="I717">
        <f>IF(MONTH(calls[[#This Row],[Date of Call]])&lt;=6, YEAR(calls[[#This Row],[Date of Call]]), YEAR(calls[[#This Row],[Date of Call]])+1)</f>
        <v>2026</v>
      </c>
      <c r="J717" t="str">
        <f>TEXT(calls[[#This Row],[Date of Call]],"DDDD")</f>
        <v>Sunday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45908</v>
      </c>
      <c r="G718">
        <v>130</v>
      </c>
      <c r="H718">
        <v>3.6</v>
      </c>
      <c r="I718">
        <f>IF(MONTH(calls[[#This Row],[Date of Call]])&lt;=6, YEAR(calls[[#This Row],[Date of Call]]), YEAR(calls[[#This Row],[Date of Call]])+1)</f>
        <v>2026</v>
      </c>
      <c r="J718" t="str">
        <f>TEXT(calls[[#This Row],[Date of Call]],"DDDD")</f>
        <v>Monday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45908</v>
      </c>
      <c r="G719">
        <v>45</v>
      </c>
      <c r="H719">
        <v>4.5999999999999996</v>
      </c>
      <c r="I719">
        <f>IF(MONTH(calls[[#This Row],[Date of Call]])&lt;=6, YEAR(calls[[#This Row],[Date of Call]]), YEAR(calls[[#This Row],[Date of Call]])+1)</f>
        <v>2026</v>
      </c>
      <c r="J719" t="str">
        <f>TEXT(calls[[#This Row],[Date of Call]],"DDDD")</f>
        <v>Monday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45908</v>
      </c>
      <c r="G720">
        <v>66</v>
      </c>
      <c r="H720">
        <v>4</v>
      </c>
      <c r="I720">
        <f>IF(MONTH(calls[[#This Row],[Date of Call]])&lt;=6, YEAR(calls[[#This Row],[Date of Call]]), YEAR(calls[[#This Row],[Date of Call]])+1)</f>
        <v>2026</v>
      </c>
      <c r="J720" t="str">
        <f>TEXT(calls[[#This Row],[Date of Call]],"DDDD")</f>
        <v>Monday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45908</v>
      </c>
      <c r="G721">
        <v>58</v>
      </c>
      <c r="H721">
        <v>4.7</v>
      </c>
      <c r="I721">
        <f>IF(MONTH(calls[[#This Row],[Date of Call]])&lt;=6, YEAR(calls[[#This Row],[Date of Call]]), YEAR(calls[[#This Row],[Date of Call]])+1)</f>
        <v>2026</v>
      </c>
      <c r="J721" t="str">
        <f>TEXT(calls[[#This Row],[Date of Call]],"DDDD")</f>
        <v>Monday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45909</v>
      </c>
      <c r="G722">
        <v>152</v>
      </c>
      <c r="H722">
        <v>4.3</v>
      </c>
      <c r="I722">
        <f>IF(MONTH(calls[[#This Row],[Date of Call]])&lt;=6, YEAR(calls[[#This Row],[Date of Call]]), YEAR(calls[[#This Row],[Date of Call]])+1)</f>
        <v>2026</v>
      </c>
      <c r="J722" t="str">
        <f>TEXT(calls[[#This Row],[Date of Call]],"DDDD")</f>
        <v>Tuesday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45909</v>
      </c>
      <c r="G723">
        <v>75</v>
      </c>
      <c r="H723">
        <v>2.8</v>
      </c>
      <c r="I723">
        <f>IF(MONTH(calls[[#This Row],[Date of Call]])&lt;=6, YEAR(calls[[#This Row],[Date of Call]]), YEAR(calls[[#This Row],[Date of Call]])+1)</f>
        <v>2026</v>
      </c>
      <c r="J723" t="str">
        <f>TEXT(calls[[#This Row],[Date of Call]],"DDDD")</f>
        <v>Tuesday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45909</v>
      </c>
      <c r="G724">
        <v>78</v>
      </c>
      <c r="H724">
        <v>4</v>
      </c>
      <c r="I724">
        <f>IF(MONTH(calls[[#This Row],[Date of Call]])&lt;=6, YEAR(calls[[#This Row],[Date of Call]]), YEAR(calls[[#This Row],[Date of Call]])+1)</f>
        <v>2026</v>
      </c>
      <c r="J724" t="str">
        <f>TEXT(calls[[#This Row],[Date of Call]],"DDDD")</f>
        <v>Tuesday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45909</v>
      </c>
      <c r="G725">
        <v>69</v>
      </c>
      <c r="H725">
        <v>3.9</v>
      </c>
      <c r="I725">
        <f>IF(MONTH(calls[[#This Row],[Date of Call]])&lt;=6, YEAR(calls[[#This Row],[Date of Call]]), YEAR(calls[[#This Row],[Date of Call]])+1)</f>
        <v>2026</v>
      </c>
      <c r="J725" t="str">
        <f>TEXT(calls[[#This Row],[Date of Call]],"DDDD")</f>
        <v>Tuesday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45910</v>
      </c>
      <c r="G726">
        <v>46</v>
      </c>
      <c r="H726">
        <v>3.1</v>
      </c>
      <c r="I726">
        <f>IF(MONTH(calls[[#This Row],[Date of Call]])&lt;=6, YEAR(calls[[#This Row],[Date of Call]]), YEAR(calls[[#This Row],[Date of Call]])+1)</f>
        <v>2026</v>
      </c>
      <c r="J726" t="str">
        <f>TEXT(calls[[#This Row],[Date of Call]],"DDDD")</f>
        <v>Wednesday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45910</v>
      </c>
      <c r="G727">
        <v>64</v>
      </c>
      <c r="H727">
        <v>2.7</v>
      </c>
      <c r="I727">
        <f>IF(MONTH(calls[[#This Row],[Date of Call]])&lt;=6, YEAR(calls[[#This Row],[Date of Call]]), YEAR(calls[[#This Row],[Date of Call]])+1)</f>
        <v>2026</v>
      </c>
      <c r="J727" t="str">
        <f>TEXT(calls[[#This Row],[Date of Call]],"DDDD")</f>
        <v>Wednesday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45910</v>
      </c>
      <c r="G728">
        <v>38</v>
      </c>
      <c r="H728">
        <v>4.7</v>
      </c>
      <c r="I728">
        <f>IF(MONTH(calls[[#This Row],[Date of Call]])&lt;=6, YEAR(calls[[#This Row],[Date of Call]]), YEAR(calls[[#This Row],[Date of Call]])+1)</f>
        <v>2026</v>
      </c>
      <c r="J728" t="str">
        <f>TEXT(calls[[#This Row],[Date of Call]],"DDDD")</f>
        <v>Wednesday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45912</v>
      </c>
      <c r="G729">
        <v>90</v>
      </c>
      <c r="H729">
        <v>4.3</v>
      </c>
      <c r="I729">
        <f>IF(MONTH(calls[[#This Row],[Date of Call]])&lt;=6, YEAR(calls[[#This Row],[Date of Call]]), YEAR(calls[[#This Row],[Date of Call]])+1)</f>
        <v>2026</v>
      </c>
      <c r="J729" t="str">
        <f>TEXT(calls[[#This Row],[Date of Call]],"DDDD")</f>
        <v>Friday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45912</v>
      </c>
      <c r="G730">
        <v>32</v>
      </c>
      <c r="H730">
        <v>3.8</v>
      </c>
      <c r="I730">
        <f>IF(MONTH(calls[[#This Row],[Date of Call]])&lt;=6, YEAR(calls[[#This Row],[Date of Call]]), YEAR(calls[[#This Row],[Date of Call]])+1)</f>
        <v>2026</v>
      </c>
      <c r="J730" t="str">
        <f>TEXT(calls[[#This Row],[Date of Call]],"DDDD")</f>
        <v>Friday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45912</v>
      </c>
      <c r="G731">
        <v>120</v>
      </c>
      <c r="H731">
        <v>4.4000000000000004</v>
      </c>
      <c r="I731">
        <f>IF(MONTH(calls[[#This Row],[Date of Call]])&lt;=6, YEAR(calls[[#This Row],[Date of Call]]), YEAR(calls[[#This Row],[Date of Call]])+1)</f>
        <v>2026</v>
      </c>
      <c r="J731" t="str">
        <f>TEXT(calls[[#This Row],[Date of Call]],"DDDD")</f>
        <v>Friday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45912</v>
      </c>
      <c r="G732">
        <v>31</v>
      </c>
      <c r="H732">
        <v>3.9</v>
      </c>
      <c r="I732">
        <f>IF(MONTH(calls[[#This Row],[Date of Call]])&lt;=6, YEAR(calls[[#This Row],[Date of Call]]), YEAR(calls[[#This Row],[Date of Call]])+1)</f>
        <v>2026</v>
      </c>
      <c r="J732" t="str">
        <f>TEXT(calls[[#This Row],[Date of Call]],"DDDD")</f>
        <v>Friday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45913</v>
      </c>
      <c r="G733">
        <v>108</v>
      </c>
      <c r="H733">
        <v>4.9000000000000004</v>
      </c>
      <c r="I733">
        <f>IF(MONTH(calls[[#This Row],[Date of Call]])&lt;=6, YEAR(calls[[#This Row],[Date of Call]]), YEAR(calls[[#This Row],[Date of Call]])+1)</f>
        <v>2026</v>
      </c>
      <c r="J733" t="str">
        <f>TEXT(calls[[#This Row],[Date of Call]],"DDDD")</f>
        <v>Saturday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45913</v>
      </c>
      <c r="G734">
        <v>180</v>
      </c>
      <c r="H734">
        <v>4.2</v>
      </c>
      <c r="I734">
        <f>IF(MONTH(calls[[#This Row],[Date of Call]])&lt;=6, YEAR(calls[[#This Row],[Date of Call]]), YEAR(calls[[#This Row],[Date of Call]])+1)</f>
        <v>2026</v>
      </c>
      <c r="J734" t="str">
        <f>TEXT(calls[[#This Row],[Date of Call]],"DDDD")</f>
        <v>Saturday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45914</v>
      </c>
      <c r="G735">
        <v>124</v>
      </c>
      <c r="H735">
        <v>4</v>
      </c>
      <c r="I735">
        <f>IF(MONTH(calls[[#This Row],[Date of Call]])&lt;=6, YEAR(calls[[#This Row],[Date of Call]]), YEAR(calls[[#This Row],[Date of Call]])+1)</f>
        <v>2026</v>
      </c>
      <c r="J735" t="str">
        <f>TEXT(calls[[#This Row],[Date of Call]],"DDDD")</f>
        <v>Sunday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45914</v>
      </c>
      <c r="G736">
        <v>23</v>
      </c>
      <c r="H736">
        <v>4.2</v>
      </c>
      <c r="I736">
        <f>IF(MONTH(calls[[#This Row],[Date of Call]])&lt;=6, YEAR(calls[[#This Row],[Date of Call]]), YEAR(calls[[#This Row],[Date of Call]])+1)</f>
        <v>2026</v>
      </c>
      <c r="J736" t="str">
        <f>TEXT(calls[[#This Row],[Date of Call]],"DDDD")</f>
        <v>Sunday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45915</v>
      </c>
      <c r="G737">
        <v>24</v>
      </c>
      <c r="H737">
        <v>4.8</v>
      </c>
      <c r="I737">
        <f>IF(MONTH(calls[[#This Row],[Date of Call]])&lt;=6, YEAR(calls[[#This Row],[Date of Call]]), YEAR(calls[[#This Row],[Date of Call]])+1)</f>
        <v>2026</v>
      </c>
      <c r="J737" t="str">
        <f>TEXT(calls[[#This Row],[Date of Call]],"DDDD")</f>
        <v>Monday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45916</v>
      </c>
      <c r="G738">
        <v>52</v>
      </c>
      <c r="H738">
        <v>1.1000000000000001</v>
      </c>
      <c r="I738">
        <f>IF(MONTH(calls[[#This Row],[Date of Call]])&lt;=6, YEAR(calls[[#This Row],[Date of Call]]), YEAR(calls[[#This Row],[Date of Call]])+1)</f>
        <v>2026</v>
      </c>
      <c r="J738" t="str">
        <f>TEXT(calls[[#This Row],[Date of Call]],"DDDD")</f>
        <v>Tuesday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45917</v>
      </c>
      <c r="G739">
        <v>168</v>
      </c>
      <c r="H739">
        <v>4</v>
      </c>
      <c r="I739">
        <f>IF(MONTH(calls[[#This Row],[Date of Call]])&lt;=6, YEAR(calls[[#This Row],[Date of Call]]), YEAR(calls[[#This Row],[Date of Call]])+1)</f>
        <v>2026</v>
      </c>
      <c r="J739" t="str">
        <f>TEXT(calls[[#This Row],[Date of Call]],"DDDD")</f>
        <v>Wednesday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45919</v>
      </c>
      <c r="G740">
        <v>125</v>
      </c>
      <c r="H740">
        <v>4.8</v>
      </c>
      <c r="I740">
        <f>IF(MONTH(calls[[#This Row],[Date of Call]])&lt;=6, YEAR(calls[[#This Row],[Date of Call]]), YEAR(calls[[#This Row],[Date of Call]])+1)</f>
        <v>2026</v>
      </c>
      <c r="J740" t="str">
        <f>TEXT(calls[[#This Row],[Date of Call]],"DDDD")</f>
        <v>Friday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45920</v>
      </c>
      <c r="G741">
        <v>50</v>
      </c>
      <c r="H741">
        <v>4.2</v>
      </c>
      <c r="I741">
        <f>IF(MONTH(calls[[#This Row],[Date of Call]])&lt;=6, YEAR(calls[[#This Row],[Date of Call]]), YEAR(calls[[#This Row],[Date of Call]])+1)</f>
        <v>2026</v>
      </c>
      <c r="J741" t="str">
        <f>TEXT(calls[[#This Row],[Date of Call]],"DDDD")</f>
        <v>Saturday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45921</v>
      </c>
      <c r="G742">
        <v>220</v>
      </c>
      <c r="H742">
        <v>4.5999999999999996</v>
      </c>
      <c r="I742">
        <f>IF(MONTH(calls[[#This Row],[Date of Call]])&lt;=6, YEAR(calls[[#This Row],[Date of Call]]), YEAR(calls[[#This Row],[Date of Call]])+1)</f>
        <v>2026</v>
      </c>
      <c r="J742" t="str">
        <f>TEXT(calls[[#This Row],[Date of Call]],"DDDD")</f>
        <v>Sunday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45921</v>
      </c>
      <c r="G743">
        <v>180</v>
      </c>
      <c r="H743">
        <v>4</v>
      </c>
      <c r="I743">
        <f>IF(MONTH(calls[[#This Row],[Date of Call]])&lt;=6, YEAR(calls[[#This Row],[Date of Call]]), YEAR(calls[[#This Row],[Date of Call]])+1)</f>
        <v>2026</v>
      </c>
      <c r="J743" t="str">
        <f>TEXT(calls[[#This Row],[Date of Call]],"DDDD")</f>
        <v>Sunday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45921</v>
      </c>
      <c r="G744">
        <v>110</v>
      </c>
      <c r="H744">
        <v>3.9</v>
      </c>
      <c r="I744">
        <f>IF(MONTH(calls[[#This Row],[Date of Call]])&lt;=6, YEAR(calls[[#This Row],[Date of Call]]), YEAR(calls[[#This Row],[Date of Call]])+1)</f>
        <v>2026</v>
      </c>
      <c r="J744" t="str">
        <f>TEXT(calls[[#This Row],[Date of Call]],"DDDD")</f>
        <v>Sunday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45921</v>
      </c>
      <c r="G745">
        <v>36</v>
      </c>
      <c r="H745">
        <v>2.8</v>
      </c>
      <c r="I745">
        <f>IF(MONTH(calls[[#This Row],[Date of Call]])&lt;=6, YEAR(calls[[#This Row],[Date of Call]]), YEAR(calls[[#This Row],[Date of Call]])+1)</f>
        <v>2026</v>
      </c>
      <c r="J745" t="str">
        <f>TEXT(calls[[#This Row],[Date of Call]],"DDDD")</f>
        <v>Sunday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45922</v>
      </c>
      <c r="G746">
        <v>93</v>
      </c>
      <c r="H746">
        <v>4.7</v>
      </c>
      <c r="I746">
        <f>IF(MONTH(calls[[#This Row],[Date of Call]])&lt;=6, YEAR(calls[[#This Row],[Date of Call]]), YEAR(calls[[#This Row],[Date of Call]])+1)</f>
        <v>2026</v>
      </c>
      <c r="J746" t="str">
        <f>TEXT(calls[[#This Row],[Date of Call]],"DDDD")</f>
        <v>Monday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45922</v>
      </c>
      <c r="G747">
        <v>38</v>
      </c>
      <c r="H747">
        <v>4.2</v>
      </c>
      <c r="I747">
        <f>IF(MONTH(calls[[#This Row],[Date of Call]])&lt;=6, YEAR(calls[[#This Row],[Date of Call]]), YEAR(calls[[#This Row],[Date of Call]])+1)</f>
        <v>2026</v>
      </c>
      <c r="J747" t="str">
        <f>TEXT(calls[[#This Row],[Date of Call]],"DDDD")</f>
        <v>Monday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45925</v>
      </c>
      <c r="G748">
        <v>66</v>
      </c>
      <c r="H748">
        <v>3.9</v>
      </c>
      <c r="I748">
        <f>IF(MONTH(calls[[#This Row],[Date of Call]])&lt;=6, YEAR(calls[[#This Row],[Date of Call]]), YEAR(calls[[#This Row],[Date of Call]])+1)</f>
        <v>2026</v>
      </c>
      <c r="J748" t="str">
        <f>TEXT(calls[[#This Row],[Date of Call]],"DDDD")</f>
        <v>Thursday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45925</v>
      </c>
      <c r="G749">
        <v>215</v>
      </c>
      <c r="H749">
        <v>4.5999999999999996</v>
      </c>
      <c r="I749">
        <f>IF(MONTH(calls[[#This Row],[Date of Call]])&lt;=6, YEAR(calls[[#This Row],[Date of Call]]), YEAR(calls[[#This Row],[Date of Call]])+1)</f>
        <v>2026</v>
      </c>
      <c r="J749" t="str">
        <f>TEXT(calls[[#This Row],[Date of Call]],"DDDD")</f>
        <v>Thursday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45925</v>
      </c>
      <c r="G750">
        <v>92</v>
      </c>
      <c r="H750">
        <v>4.3</v>
      </c>
      <c r="I750">
        <f>IF(MONTH(calls[[#This Row],[Date of Call]])&lt;=6, YEAR(calls[[#This Row],[Date of Call]]), YEAR(calls[[#This Row],[Date of Call]])+1)</f>
        <v>2026</v>
      </c>
      <c r="J750" t="str">
        <f>TEXT(calls[[#This Row],[Date of Call]],"DDDD")</f>
        <v>Thursday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45925</v>
      </c>
      <c r="G751">
        <v>80</v>
      </c>
      <c r="H751">
        <v>3.6</v>
      </c>
      <c r="I751">
        <f>IF(MONTH(calls[[#This Row],[Date of Call]])&lt;=6, YEAR(calls[[#This Row],[Date of Call]]), YEAR(calls[[#This Row],[Date of Call]])+1)</f>
        <v>2026</v>
      </c>
      <c r="J751" t="str">
        <f>TEXT(calls[[#This Row],[Date of Call]],"DDDD")</f>
        <v>Thursday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45924</v>
      </c>
      <c r="G752">
        <v>123</v>
      </c>
      <c r="H752">
        <v>4.9000000000000004</v>
      </c>
      <c r="I752">
        <f>IF(MONTH(calls[[#This Row],[Date of Call]])&lt;=6, YEAR(calls[[#This Row],[Date of Call]]), YEAR(calls[[#This Row],[Date of Call]])+1)</f>
        <v>2026</v>
      </c>
      <c r="J752" t="str">
        <f>TEXT(calls[[#This Row],[Date of Call]],"DDDD")</f>
        <v>Wednesday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45924</v>
      </c>
      <c r="G753">
        <v>23</v>
      </c>
      <c r="H753">
        <v>2.4</v>
      </c>
      <c r="I753">
        <f>IF(MONTH(calls[[#This Row],[Date of Call]])&lt;=6, YEAR(calls[[#This Row],[Date of Call]]), YEAR(calls[[#This Row],[Date of Call]])+1)</f>
        <v>2026</v>
      </c>
      <c r="J753" t="str">
        <f>TEXT(calls[[#This Row],[Date of Call]],"DDDD")</f>
        <v>Wednesday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45924</v>
      </c>
      <c r="G754">
        <v>63</v>
      </c>
      <c r="H754">
        <v>4.2</v>
      </c>
      <c r="I754">
        <f>IF(MONTH(calls[[#This Row],[Date of Call]])&lt;=6, YEAR(calls[[#This Row],[Date of Call]]), YEAR(calls[[#This Row],[Date of Call]])+1)</f>
        <v>2026</v>
      </c>
      <c r="J754" t="str">
        <f>TEXT(calls[[#This Row],[Date of Call]],"DDDD")</f>
        <v>Wednesday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45924</v>
      </c>
      <c r="G755">
        <v>52</v>
      </c>
      <c r="H755">
        <v>3.9</v>
      </c>
      <c r="I755">
        <f>IF(MONTH(calls[[#This Row],[Date of Call]])&lt;=6, YEAR(calls[[#This Row],[Date of Call]]), YEAR(calls[[#This Row],[Date of Call]])+1)</f>
        <v>2026</v>
      </c>
      <c r="J755" t="str">
        <f>TEXT(calls[[#This Row],[Date of Call]],"DDDD")</f>
        <v>Wednesday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45924</v>
      </c>
      <c r="G756">
        <v>60</v>
      </c>
      <c r="H756">
        <v>4.2</v>
      </c>
      <c r="I756">
        <f>IF(MONTH(calls[[#This Row],[Date of Call]])&lt;=6, YEAR(calls[[#This Row],[Date of Call]]), YEAR(calls[[#This Row],[Date of Call]])+1)</f>
        <v>2026</v>
      </c>
      <c r="J756" t="str">
        <f>TEXT(calls[[#This Row],[Date of Call]],"DDDD")</f>
        <v>Wednesday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45925</v>
      </c>
      <c r="G757">
        <v>87</v>
      </c>
      <c r="H757">
        <v>3.9</v>
      </c>
      <c r="I757">
        <f>IF(MONTH(calls[[#This Row],[Date of Call]])&lt;=6, YEAR(calls[[#This Row],[Date of Call]]), YEAR(calls[[#This Row],[Date of Call]])+1)</f>
        <v>2026</v>
      </c>
      <c r="J757" t="str">
        <f>TEXT(calls[[#This Row],[Date of Call]],"DDDD")</f>
        <v>Thursday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45926</v>
      </c>
      <c r="G758">
        <v>42</v>
      </c>
      <c r="H758">
        <v>4.5</v>
      </c>
      <c r="I758">
        <f>IF(MONTH(calls[[#This Row],[Date of Call]])&lt;=6, YEAR(calls[[#This Row],[Date of Call]]), YEAR(calls[[#This Row],[Date of Call]])+1)</f>
        <v>2026</v>
      </c>
      <c r="J758" t="str">
        <f>TEXT(calls[[#This Row],[Date of Call]],"DDDD")</f>
        <v>Friday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45927</v>
      </c>
      <c r="G759">
        <v>37</v>
      </c>
      <c r="H759">
        <v>3.8</v>
      </c>
      <c r="I759">
        <f>IF(MONTH(calls[[#This Row],[Date of Call]])&lt;=6, YEAR(calls[[#This Row],[Date of Call]]), YEAR(calls[[#This Row],[Date of Call]])+1)</f>
        <v>2026</v>
      </c>
      <c r="J759" t="str">
        <f>TEXT(calls[[#This Row],[Date of Call]],"DDDD")</f>
        <v>Saturday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45927</v>
      </c>
      <c r="G760">
        <v>135</v>
      </c>
      <c r="H760">
        <v>3.9</v>
      </c>
      <c r="I760">
        <f>IF(MONTH(calls[[#This Row],[Date of Call]])&lt;=6, YEAR(calls[[#This Row],[Date of Call]]), YEAR(calls[[#This Row],[Date of Call]])+1)</f>
        <v>2026</v>
      </c>
      <c r="J760" t="str">
        <f>TEXT(calls[[#This Row],[Date of Call]],"DDDD")</f>
        <v>Saturday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45927</v>
      </c>
      <c r="G761">
        <v>88</v>
      </c>
      <c r="H761">
        <v>4.7</v>
      </c>
      <c r="I761">
        <f>IF(MONTH(calls[[#This Row],[Date of Call]])&lt;=6, YEAR(calls[[#This Row],[Date of Call]]), YEAR(calls[[#This Row],[Date of Call]])+1)</f>
        <v>2026</v>
      </c>
      <c r="J761" t="str">
        <f>TEXT(calls[[#This Row],[Date of Call]],"DDDD")</f>
        <v>Saturday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45927</v>
      </c>
      <c r="G762">
        <v>190</v>
      </c>
      <c r="H762">
        <v>3.2</v>
      </c>
      <c r="I762">
        <f>IF(MONTH(calls[[#This Row],[Date of Call]])&lt;=6, YEAR(calls[[#This Row],[Date of Call]]), YEAR(calls[[#This Row],[Date of Call]])+1)</f>
        <v>2026</v>
      </c>
      <c r="J762" t="str">
        <f>TEXT(calls[[#This Row],[Date of Call]],"DDDD")</f>
        <v>Saturday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45927</v>
      </c>
      <c r="G763">
        <v>81</v>
      </c>
      <c r="H763">
        <v>5</v>
      </c>
      <c r="I763">
        <f>IF(MONTH(calls[[#This Row],[Date of Call]])&lt;=6, YEAR(calls[[#This Row],[Date of Call]]), YEAR(calls[[#This Row],[Date of Call]])+1)</f>
        <v>2026</v>
      </c>
      <c r="J763" t="str">
        <f>TEXT(calls[[#This Row],[Date of Call]],"DDDD")</f>
        <v>Saturday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45927</v>
      </c>
      <c r="G764">
        <v>44</v>
      </c>
      <c r="H764">
        <v>3.7</v>
      </c>
      <c r="I764">
        <f>IF(MONTH(calls[[#This Row],[Date of Call]])&lt;=6, YEAR(calls[[#This Row],[Date of Call]]), YEAR(calls[[#This Row],[Date of Call]])+1)</f>
        <v>2026</v>
      </c>
      <c r="J764" t="str">
        <f>TEXT(calls[[#This Row],[Date of Call]],"DDDD")</f>
        <v>Saturday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45928</v>
      </c>
      <c r="G765">
        <v>92</v>
      </c>
      <c r="H765">
        <v>3.9</v>
      </c>
      <c r="I765">
        <f>IF(MONTH(calls[[#This Row],[Date of Call]])&lt;=6, YEAR(calls[[#This Row],[Date of Call]]), YEAR(calls[[#This Row],[Date of Call]])+1)</f>
        <v>2026</v>
      </c>
      <c r="J765" t="str">
        <f>TEXT(calls[[#This Row],[Date of Call]],"DDDD")</f>
        <v>Sunday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45929</v>
      </c>
      <c r="G766">
        <v>90</v>
      </c>
      <c r="H766">
        <v>3.1</v>
      </c>
      <c r="I766">
        <f>IF(MONTH(calls[[#This Row],[Date of Call]])&lt;=6, YEAR(calls[[#This Row],[Date of Call]]), YEAR(calls[[#This Row],[Date of Call]])+1)</f>
        <v>2026</v>
      </c>
      <c r="J766" t="str">
        <f>TEXT(calls[[#This Row],[Date of Call]],"DDDD")</f>
        <v>Monday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45929</v>
      </c>
      <c r="G767">
        <v>112</v>
      </c>
      <c r="H767">
        <v>2</v>
      </c>
      <c r="I767">
        <f>IF(MONTH(calls[[#This Row],[Date of Call]])&lt;=6, YEAR(calls[[#This Row],[Date of Call]]), YEAR(calls[[#This Row],[Date of Call]])+1)</f>
        <v>2026</v>
      </c>
      <c r="J767" t="str">
        <f>TEXT(calls[[#This Row],[Date of Call]],"DDDD")</f>
        <v>Monday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45929</v>
      </c>
      <c r="G768">
        <v>112</v>
      </c>
      <c r="H768">
        <v>4.5999999999999996</v>
      </c>
      <c r="I768">
        <f>IF(MONTH(calls[[#This Row],[Date of Call]])&lt;=6, YEAR(calls[[#This Row],[Date of Call]]), YEAR(calls[[#This Row],[Date of Call]])+1)</f>
        <v>2026</v>
      </c>
      <c r="J768" t="str">
        <f>TEXT(calls[[#This Row],[Date of Call]],"DDDD")</f>
        <v>Monday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45929</v>
      </c>
      <c r="G769">
        <v>48</v>
      </c>
      <c r="H769">
        <v>3.7</v>
      </c>
      <c r="I769">
        <f>IF(MONTH(calls[[#This Row],[Date of Call]])&lt;=6, YEAR(calls[[#This Row],[Date of Call]]), YEAR(calls[[#This Row],[Date of Call]])+1)</f>
        <v>2026</v>
      </c>
      <c r="J769" t="str">
        <f>TEXT(calls[[#This Row],[Date of Call]],"DDDD")</f>
        <v>Monday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45929</v>
      </c>
      <c r="G770">
        <v>116</v>
      </c>
      <c r="H770">
        <v>4.4000000000000004</v>
      </c>
      <c r="I770">
        <f>IF(MONTH(calls[[#This Row],[Date of Call]])&lt;=6, YEAR(calls[[#This Row],[Date of Call]]), YEAR(calls[[#This Row],[Date of Call]])+1)</f>
        <v>2026</v>
      </c>
      <c r="J770" t="str">
        <f>TEXT(calls[[#This Row],[Date of Call]],"DDDD")</f>
        <v>Monday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45929</v>
      </c>
      <c r="G771">
        <v>29</v>
      </c>
      <c r="H771">
        <v>2.1</v>
      </c>
      <c r="I771">
        <f>IF(MONTH(calls[[#This Row],[Date of Call]])&lt;=6, YEAR(calls[[#This Row],[Date of Call]]), YEAR(calls[[#This Row],[Date of Call]])+1)</f>
        <v>2026</v>
      </c>
      <c r="J771" t="str">
        <f>TEXT(calls[[#This Row],[Date of Call]],"DDDD")</f>
        <v>Monday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45930</v>
      </c>
      <c r="G772">
        <v>170</v>
      </c>
      <c r="H772">
        <v>2.2000000000000002</v>
      </c>
      <c r="I772">
        <f>IF(MONTH(calls[[#This Row],[Date of Call]])&lt;=6, YEAR(calls[[#This Row],[Date of Call]]), YEAR(calls[[#This Row],[Date of Call]])+1)</f>
        <v>2026</v>
      </c>
      <c r="J772" t="str">
        <f>TEXT(calls[[#This Row],[Date of Call]],"DDDD")</f>
        <v>Tuesday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45930</v>
      </c>
      <c r="G773">
        <v>68</v>
      </c>
      <c r="H773">
        <v>3.4</v>
      </c>
      <c r="I773">
        <f>IF(MONTH(calls[[#This Row],[Date of Call]])&lt;=6, YEAR(calls[[#This Row],[Date of Call]]), YEAR(calls[[#This Row],[Date of Call]])+1)</f>
        <v>2026</v>
      </c>
      <c r="J773" t="str">
        <f>TEXT(calls[[#This Row],[Date of Call]],"DDDD")</f>
        <v>Tuesday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45930</v>
      </c>
      <c r="G774">
        <v>195</v>
      </c>
      <c r="H774">
        <v>2.7</v>
      </c>
      <c r="I774">
        <f>IF(MONTH(calls[[#This Row],[Date of Call]])&lt;=6, YEAR(calls[[#This Row],[Date of Call]]), YEAR(calls[[#This Row],[Date of Call]])+1)</f>
        <v>2026</v>
      </c>
      <c r="J774" t="str">
        <f>TEXT(calls[[#This Row],[Date of Call]],"DDDD")</f>
        <v>Tuesday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45930</v>
      </c>
      <c r="G775">
        <v>96</v>
      </c>
      <c r="H775">
        <v>3.7</v>
      </c>
      <c r="I775">
        <f>IF(MONTH(calls[[#This Row],[Date of Call]])&lt;=6, YEAR(calls[[#This Row],[Date of Call]]), YEAR(calls[[#This Row],[Date of Call]])+1)</f>
        <v>2026</v>
      </c>
      <c r="J775" t="str">
        <f>TEXT(calls[[#This Row],[Date of Call]],"DDDD")</f>
        <v>Tuesday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45930</v>
      </c>
      <c r="G776">
        <v>96</v>
      </c>
      <c r="H776">
        <v>3.1</v>
      </c>
      <c r="I776">
        <f>IF(MONTH(calls[[#This Row],[Date of Call]])&lt;=6, YEAR(calls[[#This Row],[Date of Call]]), YEAR(calls[[#This Row],[Date of Call]])+1)</f>
        <v>2026</v>
      </c>
      <c r="J776" t="str">
        <f>TEXT(calls[[#This Row],[Date of Call]],"DDDD")</f>
        <v>Tuesday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45930</v>
      </c>
      <c r="G777">
        <v>117</v>
      </c>
      <c r="H777">
        <v>4.0999999999999996</v>
      </c>
      <c r="I777">
        <f>IF(MONTH(calls[[#This Row],[Date of Call]])&lt;=6, YEAR(calls[[#This Row],[Date of Call]]), YEAR(calls[[#This Row],[Date of Call]])+1)</f>
        <v>2026</v>
      </c>
      <c r="J777" t="str">
        <f>TEXT(calls[[#This Row],[Date of Call]],"DDDD")</f>
        <v>Tuesday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45930</v>
      </c>
      <c r="G778">
        <v>80</v>
      </c>
      <c r="H778">
        <v>4.8</v>
      </c>
      <c r="I778">
        <f>IF(MONTH(calls[[#This Row],[Date of Call]])&lt;=6, YEAR(calls[[#This Row],[Date of Call]]), YEAR(calls[[#This Row],[Date of Call]])+1)</f>
        <v>2026</v>
      </c>
      <c r="J778" t="str">
        <f>TEXT(calls[[#This Row],[Date of Call]],"DDDD")</f>
        <v>Tuesday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45930</v>
      </c>
      <c r="G779">
        <v>117</v>
      </c>
      <c r="H779">
        <v>4</v>
      </c>
      <c r="I779">
        <f>IF(MONTH(calls[[#This Row],[Date of Call]])&lt;=6, YEAR(calls[[#This Row],[Date of Call]]), YEAR(calls[[#This Row],[Date of Call]])+1)</f>
        <v>2026</v>
      </c>
      <c r="J779" t="str">
        <f>TEXT(calls[[#This Row],[Date of Call]],"DDDD")</f>
        <v>Tuesday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45931</v>
      </c>
      <c r="G780">
        <v>40</v>
      </c>
      <c r="H780">
        <v>3</v>
      </c>
      <c r="I780">
        <f>IF(MONTH(calls[[#This Row],[Date of Call]])&lt;=6, YEAR(calls[[#This Row],[Date of Call]]), YEAR(calls[[#This Row],[Date of Call]])+1)</f>
        <v>2026</v>
      </c>
      <c r="J780" t="str">
        <f>TEXT(calls[[#This Row],[Date of Call]],"DDDD")</f>
        <v>Wednesday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45931</v>
      </c>
      <c r="G781">
        <v>117</v>
      </c>
      <c r="H781">
        <v>4.8</v>
      </c>
      <c r="I781">
        <f>IF(MONTH(calls[[#This Row],[Date of Call]])&lt;=6, YEAR(calls[[#This Row],[Date of Call]]), YEAR(calls[[#This Row],[Date of Call]])+1)</f>
        <v>2026</v>
      </c>
      <c r="J781" t="str">
        <f>TEXT(calls[[#This Row],[Date of Call]],"DDDD")</f>
        <v>Wednesday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45931</v>
      </c>
      <c r="G782">
        <v>135</v>
      </c>
      <c r="H782">
        <v>4.0999999999999996</v>
      </c>
      <c r="I782">
        <f>IF(MONTH(calls[[#This Row],[Date of Call]])&lt;=6, YEAR(calls[[#This Row],[Date of Call]]), YEAR(calls[[#This Row],[Date of Call]])+1)</f>
        <v>2026</v>
      </c>
      <c r="J782" t="str">
        <f>TEXT(calls[[#This Row],[Date of Call]],"DDDD")</f>
        <v>Wednesday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45931</v>
      </c>
      <c r="G783">
        <v>99</v>
      </c>
      <c r="H783">
        <v>4.2</v>
      </c>
      <c r="I783">
        <f>IF(MONTH(calls[[#This Row],[Date of Call]])&lt;=6, YEAR(calls[[#This Row],[Date of Call]]), YEAR(calls[[#This Row],[Date of Call]])+1)</f>
        <v>2026</v>
      </c>
      <c r="J783" t="str">
        <f>TEXT(calls[[#This Row],[Date of Call]],"DDDD")</f>
        <v>Wednesday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45931</v>
      </c>
      <c r="G784">
        <v>130</v>
      </c>
      <c r="H784">
        <v>3.3</v>
      </c>
      <c r="I784">
        <f>IF(MONTH(calls[[#This Row],[Date of Call]])&lt;=6, YEAR(calls[[#This Row],[Date of Call]]), YEAR(calls[[#This Row],[Date of Call]])+1)</f>
        <v>2026</v>
      </c>
      <c r="J784" t="str">
        <f>TEXT(calls[[#This Row],[Date of Call]],"DDDD")</f>
        <v>Wednesday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45931</v>
      </c>
      <c r="G785">
        <v>96</v>
      </c>
      <c r="H785">
        <v>4.7</v>
      </c>
      <c r="I785">
        <f>IF(MONTH(calls[[#This Row],[Date of Call]])&lt;=6, YEAR(calls[[#This Row],[Date of Call]]), YEAR(calls[[#This Row],[Date of Call]])+1)</f>
        <v>2026</v>
      </c>
      <c r="J785" t="str">
        <f>TEXT(calls[[#This Row],[Date of Call]],"DDDD")</f>
        <v>Wednesday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45931</v>
      </c>
      <c r="G786">
        <v>128</v>
      </c>
      <c r="H786">
        <v>3.7</v>
      </c>
      <c r="I786">
        <f>IF(MONTH(calls[[#This Row],[Date of Call]])&lt;=6, YEAR(calls[[#This Row],[Date of Call]]), YEAR(calls[[#This Row],[Date of Call]])+1)</f>
        <v>2026</v>
      </c>
      <c r="J786" t="str">
        <f>TEXT(calls[[#This Row],[Date of Call]],"DDDD")</f>
        <v>Wednesday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45931</v>
      </c>
      <c r="G787">
        <v>69</v>
      </c>
      <c r="H787">
        <v>4.7</v>
      </c>
      <c r="I787">
        <f>IF(MONTH(calls[[#This Row],[Date of Call]])&lt;=6, YEAR(calls[[#This Row],[Date of Call]]), YEAR(calls[[#This Row],[Date of Call]])+1)</f>
        <v>2026</v>
      </c>
      <c r="J787" t="str">
        <f>TEXT(calls[[#This Row],[Date of Call]],"DDDD")</f>
        <v>Wednesday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45931</v>
      </c>
      <c r="G788">
        <v>44</v>
      </c>
      <c r="H788">
        <v>4.5999999999999996</v>
      </c>
      <c r="I788">
        <f>IF(MONTH(calls[[#This Row],[Date of Call]])&lt;=6, YEAR(calls[[#This Row],[Date of Call]]), YEAR(calls[[#This Row],[Date of Call]])+1)</f>
        <v>2026</v>
      </c>
      <c r="J788" t="str">
        <f>TEXT(calls[[#This Row],[Date of Call]],"DDDD")</f>
        <v>Wednesday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45931</v>
      </c>
      <c r="G789">
        <v>44</v>
      </c>
      <c r="H789">
        <v>4.8</v>
      </c>
      <c r="I789">
        <f>IF(MONTH(calls[[#This Row],[Date of Call]])&lt;=6, YEAR(calls[[#This Row],[Date of Call]]), YEAR(calls[[#This Row],[Date of Call]])+1)</f>
        <v>2026</v>
      </c>
      <c r="J789" t="str">
        <f>TEXT(calls[[#This Row],[Date of Call]],"DDDD")</f>
        <v>Wednesday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45932</v>
      </c>
      <c r="G790">
        <v>135</v>
      </c>
      <c r="H790">
        <v>2</v>
      </c>
      <c r="I790">
        <f>IF(MONTH(calls[[#This Row],[Date of Call]])&lt;=6, YEAR(calls[[#This Row],[Date of Call]]), YEAR(calls[[#This Row],[Date of Call]])+1)</f>
        <v>2026</v>
      </c>
      <c r="J790" t="str">
        <f>TEXT(calls[[#This Row],[Date of Call]],"DDDD")</f>
        <v>Thursday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45932</v>
      </c>
      <c r="G791">
        <v>45</v>
      </c>
      <c r="H791">
        <v>3.9</v>
      </c>
      <c r="I791">
        <f>IF(MONTH(calls[[#This Row],[Date of Call]])&lt;=6, YEAR(calls[[#This Row],[Date of Call]]), YEAR(calls[[#This Row],[Date of Call]])+1)</f>
        <v>2026</v>
      </c>
      <c r="J791" t="str">
        <f>TEXT(calls[[#This Row],[Date of Call]],"DDDD")</f>
        <v>Thursday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45932</v>
      </c>
      <c r="G792">
        <v>87</v>
      </c>
      <c r="H792">
        <v>3</v>
      </c>
      <c r="I792">
        <f>IF(MONTH(calls[[#This Row],[Date of Call]])&lt;=6, YEAR(calls[[#This Row],[Date of Call]]), YEAR(calls[[#This Row],[Date of Call]])+1)</f>
        <v>2026</v>
      </c>
      <c r="J792" t="str">
        <f>TEXT(calls[[#This Row],[Date of Call]],"DDDD")</f>
        <v>Thursday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45933</v>
      </c>
      <c r="G793">
        <v>84</v>
      </c>
      <c r="H793">
        <v>4.5999999999999996</v>
      </c>
      <c r="I793">
        <f>IF(MONTH(calls[[#This Row],[Date of Call]])&lt;=6, YEAR(calls[[#This Row],[Date of Call]]), YEAR(calls[[#This Row],[Date of Call]])+1)</f>
        <v>2026</v>
      </c>
      <c r="J793" t="str">
        <f>TEXT(calls[[#This Row],[Date of Call]],"DDDD")</f>
        <v>Friday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45933</v>
      </c>
      <c r="G794">
        <v>81</v>
      </c>
      <c r="H794">
        <v>3.8</v>
      </c>
      <c r="I794">
        <f>IF(MONTH(calls[[#This Row],[Date of Call]])&lt;=6, YEAR(calls[[#This Row],[Date of Call]]), YEAR(calls[[#This Row],[Date of Call]])+1)</f>
        <v>2026</v>
      </c>
      <c r="J794" t="str">
        <f>TEXT(calls[[#This Row],[Date of Call]],"DDDD")</f>
        <v>Friday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45933</v>
      </c>
      <c r="G795">
        <v>130</v>
      </c>
      <c r="H795">
        <v>4.4000000000000004</v>
      </c>
      <c r="I795">
        <f>IF(MONTH(calls[[#This Row],[Date of Call]])&lt;=6, YEAR(calls[[#This Row],[Date of Call]]), YEAR(calls[[#This Row],[Date of Call]])+1)</f>
        <v>2026</v>
      </c>
      <c r="J795" t="str">
        <f>TEXT(calls[[#This Row],[Date of Call]],"DDDD")</f>
        <v>Friday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45934</v>
      </c>
      <c r="G796">
        <v>92</v>
      </c>
      <c r="H796">
        <v>2.4</v>
      </c>
      <c r="I796">
        <f>IF(MONTH(calls[[#This Row],[Date of Call]])&lt;=6, YEAR(calls[[#This Row],[Date of Call]]), YEAR(calls[[#This Row],[Date of Call]])+1)</f>
        <v>2026</v>
      </c>
      <c r="J796" t="str">
        <f>TEXT(calls[[#This Row],[Date of Call]],"DDDD")</f>
        <v>Saturday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45934</v>
      </c>
      <c r="G797">
        <v>48</v>
      </c>
      <c r="H797">
        <v>4.5</v>
      </c>
      <c r="I797">
        <f>IF(MONTH(calls[[#This Row],[Date of Call]])&lt;=6, YEAR(calls[[#This Row],[Date of Call]]), YEAR(calls[[#This Row],[Date of Call]])+1)</f>
        <v>2026</v>
      </c>
      <c r="J797" t="str">
        <f>TEXT(calls[[#This Row],[Date of Call]],"DDDD")</f>
        <v>Saturday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45934</v>
      </c>
      <c r="G798">
        <v>160</v>
      </c>
      <c r="H798">
        <v>4.5</v>
      </c>
      <c r="I798">
        <f>IF(MONTH(calls[[#This Row],[Date of Call]])&lt;=6, YEAR(calls[[#This Row],[Date of Call]]), YEAR(calls[[#This Row],[Date of Call]])+1)</f>
        <v>2026</v>
      </c>
      <c r="J798" t="str">
        <f>TEXT(calls[[#This Row],[Date of Call]],"DDDD")</f>
        <v>Saturday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45935</v>
      </c>
      <c r="G799">
        <v>155</v>
      </c>
      <c r="H799">
        <v>2.7</v>
      </c>
      <c r="I799">
        <f>IF(MONTH(calls[[#This Row],[Date of Call]])&lt;=6, YEAR(calls[[#This Row],[Date of Call]]), YEAR(calls[[#This Row],[Date of Call]])+1)</f>
        <v>2026</v>
      </c>
      <c r="J799" t="str">
        <f>TEXT(calls[[#This Row],[Date of Call]],"DDDD")</f>
        <v>Sunday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45935</v>
      </c>
      <c r="G800">
        <v>100</v>
      </c>
      <c r="H800">
        <v>4.9000000000000004</v>
      </c>
      <c r="I800">
        <f>IF(MONTH(calls[[#This Row],[Date of Call]])&lt;=6, YEAR(calls[[#This Row],[Date of Call]]), YEAR(calls[[#This Row],[Date of Call]])+1)</f>
        <v>2026</v>
      </c>
      <c r="J800" t="str">
        <f>TEXT(calls[[#This Row],[Date of Call]],"DDDD")</f>
        <v>Sunday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45935</v>
      </c>
      <c r="G801">
        <v>56</v>
      </c>
      <c r="H801">
        <v>3.7</v>
      </c>
      <c r="I801">
        <f>IF(MONTH(calls[[#This Row],[Date of Call]])&lt;=6, YEAR(calls[[#This Row],[Date of Call]]), YEAR(calls[[#This Row],[Date of Call]])+1)</f>
        <v>2026</v>
      </c>
      <c r="J801" t="str">
        <f>TEXT(calls[[#This Row],[Date of Call]],"DDDD")</f>
        <v>Sunday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45935</v>
      </c>
      <c r="G802">
        <v>170</v>
      </c>
      <c r="H802">
        <v>3.9</v>
      </c>
      <c r="I802">
        <f>IF(MONTH(calls[[#This Row],[Date of Call]])&lt;=6, YEAR(calls[[#This Row],[Date of Call]]), YEAR(calls[[#This Row],[Date of Call]])+1)</f>
        <v>2026</v>
      </c>
      <c r="J802" t="str">
        <f>TEXT(calls[[#This Row],[Date of Call]],"DDDD")</f>
        <v>Sunday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45936</v>
      </c>
      <c r="G803">
        <v>74</v>
      </c>
      <c r="H803">
        <v>3.5</v>
      </c>
      <c r="I803">
        <f>IF(MONTH(calls[[#This Row],[Date of Call]])&lt;=6, YEAR(calls[[#This Row],[Date of Call]]), YEAR(calls[[#This Row],[Date of Call]])+1)</f>
        <v>2026</v>
      </c>
      <c r="J803" t="str">
        <f>TEXT(calls[[#This Row],[Date of Call]],"DDDD")</f>
        <v>Monday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45936</v>
      </c>
      <c r="G804">
        <v>99</v>
      </c>
      <c r="H804">
        <v>2.7</v>
      </c>
      <c r="I804">
        <f>IF(MONTH(calls[[#This Row],[Date of Call]])&lt;=6, YEAR(calls[[#This Row],[Date of Call]]), YEAR(calls[[#This Row],[Date of Call]])+1)</f>
        <v>2026</v>
      </c>
      <c r="J804" t="str">
        <f>TEXT(calls[[#This Row],[Date of Call]],"DDDD")</f>
        <v>Monday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45936</v>
      </c>
      <c r="G805">
        <v>84</v>
      </c>
      <c r="H805">
        <v>3.9</v>
      </c>
      <c r="I805">
        <f>IF(MONTH(calls[[#This Row],[Date of Call]])&lt;=6, YEAR(calls[[#This Row],[Date of Call]]), YEAR(calls[[#This Row],[Date of Call]])+1)</f>
        <v>2026</v>
      </c>
      <c r="J805" t="str">
        <f>TEXT(calls[[#This Row],[Date of Call]],"DDDD")</f>
        <v>Monday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45936</v>
      </c>
      <c r="G806">
        <v>35</v>
      </c>
      <c r="H806">
        <v>3.4</v>
      </c>
      <c r="I806">
        <f>IF(MONTH(calls[[#This Row],[Date of Call]])&lt;=6, YEAR(calls[[#This Row],[Date of Call]]), YEAR(calls[[#This Row],[Date of Call]])+1)</f>
        <v>2026</v>
      </c>
      <c r="J806" t="str">
        <f>TEXT(calls[[#This Row],[Date of Call]],"DDDD")</f>
        <v>Monday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45936</v>
      </c>
      <c r="G807">
        <v>150</v>
      </c>
      <c r="H807">
        <v>5</v>
      </c>
      <c r="I807">
        <f>IF(MONTH(calls[[#This Row],[Date of Call]])&lt;=6, YEAR(calls[[#This Row],[Date of Call]]), YEAR(calls[[#This Row],[Date of Call]])+1)</f>
        <v>2026</v>
      </c>
      <c r="J807" t="str">
        <f>TEXT(calls[[#This Row],[Date of Call]],"DDDD")</f>
        <v>Monday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45937</v>
      </c>
      <c r="G808">
        <v>176</v>
      </c>
      <c r="H808">
        <v>4.4000000000000004</v>
      </c>
      <c r="I808">
        <f>IF(MONTH(calls[[#This Row],[Date of Call]])&lt;=6, YEAR(calls[[#This Row],[Date of Call]]), YEAR(calls[[#This Row],[Date of Call]])+1)</f>
        <v>2026</v>
      </c>
      <c r="J808" t="str">
        <f>TEXT(calls[[#This Row],[Date of Call]],"DDDD")</f>
        <v>Tuesday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45937</v>
      </c>
      <c r="G809">
        <v>84</v>
      </c>
      <c r="H809">
        <v>4.3</v>
      </c>
      <c r="I809">
        <f>IF(MONTH(calls[[#This Row],[Date of Call]])&lt;=6, YEAR(calls[[#This Row],[Date of Call]]), YEAR(calls[[#This Row],[Date of Call]])+1)</f>
        <v>2026</v>
      </c>
      <c r="J809" t="str">
        <f>TEXT(calls[[#This Row],[Date of Call]],"DDDD")</f>
        <v>Tuesday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45937</v>
      </c>
      <c r="G810">
        <v>136</v>
      </c>
      <c r="H810">
        <v>4.7</v>
      </c>
      <c r="I810">
        <f>IF(MONTH(calls[[#This Row],[Date of Call]])&lt;=6, YEAR(calls[[#This Row],[Date of Call]]), YEAR(calls[[#This Row],[Date of Call]])+1)</f>
        <v>2026</v>
      </c>
      <c r="J810" t="str">
        <f>TEXT(calls[[#This Row],[Date of Call]],"DDDD")</f>
        <v>Tuesday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45938</v>
      </c>
      <c r="G811">
        <v>70</v>
      </c>
      <c r="H811">
        <v>4.0999999999999996</v>
      </c>
      <c r="I811">
        <f>IF(MONTH(calls[[#This Row],[Date of Call]])&lt;=6, YEAR(calls[[#This Row],[Date of Call]]), YEAR(calls[[#This Row],[Date of Call]])+1)</f>
        <v>2026</v>
      </c>
      <c r="J811" t="str">
        <f>TEXT(calls[[#This Row],[Date of Call]],"DDDD")</f>
        <v>Wednesday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45938</v>
      </c>
      <c r="G812">
        <v>96</v>
      </c>
      <c r="H812">
        <v>4.8</v>
      </c>
      <c r="I812">
        <f>IF(MONTH(calls[[#This Row],[Date of Call]])&lt;=6, YEAR(calls[[#This Row],[Date of Call]]), YEAR(calls[[#This Row],[Date of Call]])+1)</f>
        <v>2026</v>
      </c>
      <c r="J812" t="str">
        <f>TEXT(calls[[#This Row],[Date of Call]],"DDDD")</f>
        <v>Wednesday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45938</v>
      </c>
      <c r="G813">
        <v>23</v>
      </c>
      <c r="H813">
        <v>4.2</v>
      </c>
      <c r="I813">
        <f>IF(MONTH(calls[[#This Row],[Date of Call]])&lt;=6, YEAR(calls[[#This Row],[Date of Call]]), YEAR(calls[[#This Row],[Date of Call]])+1)</f>
        <v>2026</v>
      </c>
      <c r="J813" t="str">
        <f>TEXT(calls[[#This Row],[Date of Call]],"DDDD")</f>
        <v>Wednesday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45939</v>
      </c>
      <c r="G814">
        <v>120</v>
      </c>
      <c r="H814">
        <v>3.4</v>
      </c>
      <c r="I814">
        <f>IF(MONTH(calls[[#This Row],[Date of Call]])&lt;=6, YEAR(calls[[#This Row],[Date of Call]]), YEAR(calls[[#This Row],[Date of Call]])+1)</f>
        <v>2026</v>
      </c>
      <c r="J814" t="str">
        <f>TEXT(calls[[#This Row],[Date of Call]],"DDDD")</f>
        <v>Thursday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45939</v>
      </c>
      <c r="G815">
        <v>205</v>
      </c>
      <c r="H815">
        <v>3.3</v>
      </c>
      <c r="I815">
        <f>IF(MONTH(calls[[#This Row],[Date of Call]])&lt;=6, YEAR(calls[[#This Row],[Date of Call]]), YEAR(calls[[#This Row],[Date of Call]])+1)</f>
        <v>2026</v>
      </c>
      <c r="J815" t="str">
        <f>TEXT(calls[[#This Row],[Date of Call]],"DDDD")</f>
        <v>Thursday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45940</v>
      </c>
      <c r="G816">
        <v>42</v>
      </c>
      <c r="H816">
        <v>3.8</v>
      </c>
      <c r="I816">
        <f>IF(MONTH(calls[[#This Row],[Date of Call]])&lt;=6, YEAR(calls[[#This Row],[Date of Call]]), YEAR(calls[[#This Row],[Date of Call]])+1)</f>
        <v>2026</v>
      </c>
      <c r="J816" t="str">
        <f>TEXT(calls[[#This Row],[Date of Call]],"DDDD")</f>
        <v>Friday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45940</v>
      </c>
      <c r="G817">
        <v>111</v>
      </c>
      <c r="H817">
        <v>3.9</v>
      </c>
      <c r="I817">
        <f>IF(MONTH(calls[[#This Row],[Date of Call]])&lt;=6, YEAR(calls[[#This Row],[Date of Call]]), YEAR(calls[[#This Row],[Date of Call]])+1)</f>
        <v>2026</v>
      </c>
      <c r="J817" t="str">
        <f>TEXT(calls[[#This Row],[Date of Call]],"DDDD")</f>
        <v>Friday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45940</v>
      </c>
      <c r="G818">
        <v>68</v>
      </c>
      <c r="H818">
        <v>2.5</v>
      </c>
      <c r="I818">
        <f>IF(MONTH(calls[[#This Row],[Date of Call]])&lt;=6, YEAR(calls[[#This Row],[Date of Call]]), YEAR(calls[[#This Row],[Date of Call]])+1)</f>
        <v>2026</v>
      </c>
      <c r="J818" t="str">
        <f>TEXT(calls[[#This Row],[Date of Call]],"DDDD")</f>
        <v>Friday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45940</v>
      </c>
      <c r="G819">
        <v>172</v>
      </c>
      <c r="H819">
        <v>4.9000000000000004</v>
      </c>
      <c r="I819">
        <f>IF(MONTH(calls[[#This Row],[Date of Call]])&lt;=6, YEAR(calls[[#This Row],[Date of Call]]), YEAR(calls[[#This Row],[Date of Call]])+1)</f>
        <v>2026</v>
      </c>
      <c r="J819" t="str">
        <f>TEXT(calls[[#This Row],[Date of Call]],"DDDD")</f>
        <v>Friday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45940</v>
      </c>
      <c r="G820">
        <v>152</v>
      </c>
      <c r="H820">
        <v>4.8</v>
      </c>
      <c r="I820">
        <f>IF(MONTH(calls[[#This Row],[Date of Call]])&lt;=6, YEAR(calls[[#This Row],[Date of Call]]), YEAR(calls[[#This Row],[Date of Call]])+1)</f>
        <v>2026</v>
      </c>
      <c r="J820" t="str">
        <f>TEXT(calls[[#This Row],[Date of Call]],"DDDD")</f>
        <v>Friday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45940</v>
      </c>
      <c r="G821">
        <v>48</v>
      </c>
      <c r="H821">
        <v>4.7</v>
      </c>
      <c r="I821">
        <f>IF(MONTH(calls[[#This Row],[Date of Call]])&lt;=6, YEAR(calls[[#This Row],[Date of Call]]), YEAR(calls[[#This Row],[Date of Call]])+1)</f>
        <v>2026</v>
      </c>
      <c r="J821" t="str">
        <f>TEXT(calls[[#This Row],[Date of Call]],"DDDD")</f>
        <v>Friday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45940</v>
      </c>
      <c r="G822">
        <v>25</v>
      </c>
      <c r="H822">
        <v>4.7</v>
      </c>
      <c r="I822">
        <f>IF(MONTH(calls[[#This Row],[Date of Call]])&lt;=6, YEAR(calls[[#This Row],[Date of Call]]), YEAR(calls[[#This Row],[Date of Call]])+1)</f>
        <v>2026</v>
      </c>
      <c r="J822" t="str">
        <f>TEXT(calls[[#This Row],[Date of Call]],"DDDD")</f>
        <v>Friday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45941</v>
      </c>
      <c r="G823">
        <v>54</v>
      </c>
      <c r="H823">
        <v>3.3</v>
      </c>
      <c r="I823">
        <f>IF(MONTH(calls[[#This Row],[Date of Call]])&lt;=6, YEAR(calls[[#This Row],[Date of Call]]), YEAR(calls[[#This Row],[Date of Call]])+1)</f>
        <v>2026</v>
      </c>
      <c r="J823" t="str">
        <f>TEXT(calls[[#This Row],[Date of Call]],"DDDD")</f>
        <v>Saturday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45941</v>
      </c>
      <c r="G824">
        <v>108</v>
      </c>
      <c r="H824">
        <v>4.7</v>
      </c>
      <c r="I824">
        <f>IF(MONTH(calls[[#This Row],[Date of Call]])&lt;=6, YEAR(calls[[#This Row],[Date of Call]]), YEAR(calls[[#This Row],[Date of Call]])+1)</f>
        <v>2026</v>
      </c>
      <c r="J824" t="str">
        <f>TEXT(calls[[#This Row],[Date of Call]],"DDDD")</f>
        <v>Saturday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45941</v>
      </c>
      <c r="G825">
        <v>36</v>
      </c>
      <c r="H825">
        <v>4.5</v>
      </c>
      <c r="I825">
        <f>IF(MONTH(calls[[#This Row],[Date of Call]])&lt;=6, YEAR(calls[[#This Row],[Date of Call]]), YEAR(calls[[#This Row],[Date of Call]])+1)</f>
        <v>2026</v>
      </c>
      <c r="J825" t="str">
        <f>TEXT(calls[[#This Row],[Date of Call]],"DDDD")</f>
        <v>Saturday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45942</v>
      </c>
      <c r="G826">
        <v>140</v>
      </c>
      <c r="H826">
        <v>4.5999999999999996</v>
      </c>
      <c r="I826">
        <f>IF(MONTH(calls[[#This Row],[Date of Call]])&lt;=6, YEAR(calls[[#This Row],[Date of Call]]), YEAR(calls[[#This Row],[Date of Call]])+1)</f>
        <v>2026</v>
      </c>
      <c r="J826" t="str">
        <f>TEXT(calls[[#This Row],[Date of Call]],"DDDD")</f>
        <v>Sunday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45942</v>
      </c>
      <c r="G827">
        <v>50</v>
      </c>
      <c r="H827">
        <v>4.8</v>
      </c>
      <c r="I827">
        <f>IF(MONTH(calls[[#This Row],[Date of Call]])&lt;=6, YEAR(calls[[#This Row],[Date of Call]]), YEAR(calls[[#This Row],[Date of Call]])+1)</f>
        <v>2026</v>
      </c>
      <c r="J827" t="str">
        <f>TEXT(calls[[#This Row],[Date of Call]],"DDDD")</f>
        <v>Sunday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45942</v>
      </c>
      <c r="G828">
        <v>195</v>
      </c>
      <c r="H828">
        <v>4.3</v>
      </c>
      <c r="I828">
        <f>IF(MONTH(calls[[#This Row],[Date of Call]])&lt;=6, YEAR(calls[[#This Row],[Date of Call]]), YEAR(calls[[#This Row],[Date of Call]])+1)</f>
        <v>2026</v>
      </c>
      <c r="J828" t="str">
        <f>TEXT(calls[[#This Row],[Date of Call]],"DDDD")</f>
        <v>Sunday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45943</v>
      </c>
      <c r="G829">
        <v>48</v>
      </c>
      <c r="H829">
        <v>4.7</v>
      </c>
      <c r="I829">
        <f>IF(MONTH(calls[[#This Row],[Date of Call]])&lt;=6, YEAR(calls[[#This Row],[Date of Call]]), YEAR(calls[[#This Row],[Date of Call]])+1)</f>
        <v>2026</v>
      </c>
      <c r="J829" t="str">
        <f>TEXT(calls[[#This Row],[Date of Call]],"DDDD")</f>
        <v>Monday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45944</v>
      </c>
      <c r="G830">
        <v>29</v>
      </c>
      <c r="H830">
        <v>4.8</v>
      </c>
      <c r="I830">
        <f>IF(MONTH(calls[[#This Row],[Date of Call]])&lt;=6, YEAR(calls[[#This Row],[Date of Call]]), YEAR(calls[[#This Row],[Date of Call]])+1)</f>
        <v>2026</v>
      </c>
      <c r="J830" t="str">
        <f>TEXT(calls[[#This Row],[Date of Call]],"DDDD")</f>
        <v>Tuesday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45944</v>
      </c>
      <c r="G831">
        <v>44</v>
      </c>
      <c r="H831">
        <v>4.7</v>
      </c>
      <c r="I831">
        <f>IF(MONTH(calls[[#This Row],[Date of Call]])&lt;=6, YEAR(calls[[#This Row],[Date of Call]]), YEAR(calls[[#This Row],[Date of Call]])+1)</f>
        <v>2026</v>
      </c>
      <c r="J831" t="str">
        <f>TEXT(calls[[#This Row],[Date of Call]],"DDDD")</f>
        <v>Tuesday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45944</v>
      </c>
      <c r="G832">
        <v>140</v>
      </c>
      <c r="H832">
        <v>4.3</v>
      </c>
      <c r="I832">
        <f>IF(MONTH(calls[[#This Row],[Date of Call]])&lt;=6, YEAR(calls[[#This Row],[Date of Call]]), YEAR(calls[[#This Row],[Date of Call]])+1)</f>
        <v>2026</v>
      </c>
      <c r="J832" t="str">
        <f>TEXT(calls[[#This Row],[Date of Call]],"DDDD")</f>
        <v>Tuesday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45944</v>
      </c>
      <c r="G833">
        <v>105</v>
      </c>
      <c r="H833">
        <v>3.8</v>
      </c>
      <c r="I833">
        <f>IF(MONTH(calls[[#This Row],[Date of Call]])&lt;=6, YEAR(calls[[#This Row],[Date of Call]]), YEAR(calls[[#This Row],[Date of Call]])+1)</f>
        <v>2026</v>
      </c>
      <c r="J833" t="str">
        <f>TEXT(calls[[#This Row],[Date of Call]],"DDDD")</f>
        <v>Tuesday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45944</v>
      </c>
      <c r="G834">
        <v>82</v>
      </c>
      <c r="H834">
        <v>4.5999999999999996</v>
      </c>
      <c r="I834">
        <f>IF(MONTH(calls[[#This Row],[Date of Call]])&lt;=6, YEAR(calls[[#This Row],[Date of Call]]), YEAR(calls[[#This Row],[Date of Call]])+1)</f>
        <v>2026</v>
      </c>
      <c r="J834" t="str">
        <f>TEXT(calls[[#This Row],[Date of Call]],"DDDD")</f>
        <v>Tuesday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45944</v>
      </c>
      <c r="G835">
        <v>24</v>
      </c>
      <c r="H835">
        <v>2.9</v>
      </c>
      <c r="I835">
        <f>IF(MONTH(calls[[#This Row],[Date of Call]])&lt;=6, YEAR(calls[[#This Row],[Date of Call]]), YEAR(calls[[#This Row],[Date of Call]])+1)</f>
        <v>2026</v>
      </c>
      <c r="J835" t="str">
        <f>TEXT(calls[[#This Row],[Date of Call]],"DDDD")</f>
        <v>Tuesday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45945</v>
      </c>
      <c r="G836">
        <v>205</v>
      </c>
      <c r="H836">
        <v>4.8</v>
      </c>
      <c r="I836">
        <f>IF(MONTH(calls[[#This Row],[Date of Call]])&lt;=6, YEAR(calls[[#This Row],[Date of Call]]), YEAR(calls[[#This Row],[Date of Call]])+1)</f>
        <v>2026</v>
      </c>
      <c r="J836" t="str">
        <f>TEXT(calls[[#This Row],[Date of Call]],"DDDD")</f>
        <v>Wednesday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45945</v>
      </c>
      <c r="G837">
        <v>225</v>
      </c>
      <c r="H837">
        <v>4.9000000000000004</v>
      </c>
      <c r="I837">
        <f>IF(MONTH(calls[[#This Row],[Date of Call]])&lt;=6, YEAR(calls[[#This Row],[Date of Call]]), YEAR(calls[[#This Row],[Date of Call]])+1)</f>
        <v>2026</v>
      </c>
      <c r="J837" t="str">
        <f>TEXT(calls[[#This Row],[Date of Call]],"DDDD")</f>
        <v>Wednesday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45945</v>
      </c>
      <c r="G838">
        <v>50</v>
      </c>
      <c r="H838">
        <v>3.4</v>
      </c>
      <c r="I838">
        <f>IF(MONTH(calls[[#This Row],[Date of Call]])&lt;=6, YEAR(calls[[#This Row],[Date of Call]]), YEAR(calls[[#This Row],[Date of Call]])+1)</f>
        <v>2026</v>
      </c>
      <c r="J838" t="str">
        <f>TEXT(calls[[#This Row],[Date of Call]],"DDDD")</f>
        <v>Wednesday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45945</v>
      </c>
      <c r="G839">
        <v>80</v>
      </c>
      <c r="H839">
        <v>4.3</v>
      </c>
      <c r="I839">
        <f>IF(MONTH(calls[[#This Row],[Date of Call]])&lt;=6, YEAR(calls[[#This Row],[Date of Call]]), YEAR(calls[[#This Row],[Date of Call]])+1)</f>
        <v>2026</v>
      </c>
      <c r="J839" t="str">
        <f>TEXT(calls[[#This Row],[Date of Call]],"DDDD")</f>
        <v>Wednesday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45945</v>
      </c>
      <c r="G840">
        <v>78</v>
      </c>
      <c r="H840">
        <v>3.9</v>
      </c>
      <c r="I840">
        <f>IF(MONTH(calls[[#This Row],[Date of Call]])&lt;=6, YEAR(calls[[#This Row],[Date of Call]]), YEAR(calls[[#This Row],[Date of Call]])+1)</f>
        <v>2026</v>
      </c>
      <c r="J840" t="str">
        <f>TEXT(calls[[#This Row],[Date of Call]],"DDDD")</f>
        <v>Wednesday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45946</v>
      </c>
      <c r="G841">
        <v>40</v>
      </c>
      <c r="H841">
        <v>3.9</v>
      </c>
      <c r="I841">
        <f>IF(MONTH(calls[[#This Row],[Date of Call]])&lt;=6, YEAR(calls[[#This Row],[Date of Call]]), YEAR(calls[[#This Row],[Date of Call]])+1)</f>
        <v>2026</v>
      </c>
      <c r="J841" t="str">
        <f>TEXT(calls[[#This Row],[Date of Call]],"DDDD")</f>
        <v>Thursday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45946</v>
      </c>
      <c r="G842">
        <v>176</v>
      </c>
      <c r="H842">
        <v>1.5</v>
      </c>
      <c r="I842">
        <f>IF(MONTH(calls[[#This Row],[Date of Call]])&lt;=6, YEAR(calls[[#This Row],[Date of Call]]), YEAR(calls[[#This Row],[Date of Call]])+1)</f>
        <v>2026</v>
      </c>
      <c r="J842" t="str">
        <f>TEXT(calls[[#This Row],[Date of Call]],"DDDD")</f>
        <v>Thursday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45946</v>
      </c>
      <c r="G843">
        <v>78</v>
      </c>
      <c r="H843">
        <v>3</v>
      </c>
      <c r="I843">
        <f>IF(MONTH(calls[[#This Row],[Date of Call]])&lt;=6, YEAR(calls[[#This Row],[Date of Call]]), YEAR(calls[[#This Row],[Date of Call]])+1)</f>
        <v>2026</v>
      </c>
      <c r="J843" t="str">
        <f>TEXT(calls[[#This Row],[Date of Call]],"DDDD")</f>
        <v>Thursday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45946</v>
      </c>
      <c r="G844">
        <v>42</v>
      </c>
      <c r="H844">
        <v>4.2</v>
      </c>
      <c r="I844">
        <f>IF(MONTH(calls[[#This Row],[Date of Call]])&lt;=6, YEAR(calls[[#This Row],[Date of Call]]), YEAR(calls[[#This Row],[Date of Call]])+1)</f>
        <v>2026</v>
      </c>
      <c r="J844" t="str">
        <f>TEXT(calls[[#This Row],[Date of Call]],"DDDD")</f>
        <v>Thursday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45946</v>
      </c>
      <c r="G845">
        <v>38</v>
      </c>
      <c r="H845">
        <v>3.7</v>
      </c>
      <c r="I845">
        <f>IF(MONTH(calls[[#This Row],[Date of Call]])&lt;=6, YEAR(calls[[#This Row],[Date of Call]]), YEAR(calls[[#This Row],[Date of Call]])+1)</f>
        <v>2026</v>
      </c>
      <c r="J845" t="str">
        <f>TEXT(calls[[#This Row],[Date of Call]],"DDDD")</f>
        <v>Thursday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45946</v>
      </c>
      <c r="G846">
        <v>27</v>
      </c>
      <c r="H846">
        <v>4.2</v>
      </c>
      <c r="I846">
        <f>IF(MONTH(calls[[#This Row],[Date of Call]])&lt;=6, YEAR(calls[[#This Row],[Date of Call]]), YEAR(calls[[#This Row],[Date of Call]])+1)</f>
        <v>2026</v>
      </c>
      <c r="J846" t="str">
        <f>TEXT(calls[[#This Row],[Date of Call]],"DDDD")</f>
        <v>Thursday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45947</v>
      </c>
      <c r="G847">
        <v>45</v>
      </c>
      <c r="H847">
        <v>4.4000000000000004</v>
      </c>
      <c r="I847">
        <f>IF(MONTH(calls[[#This Row],[Date of Call]])&lt;=6, YEAR(calls[[#This Row],[Date of Call]]), YEAR(calls[[#This Row],[Date of Call]])+1)</f>
        <v>2026</v>
      </c>
      <c r="J847" t="str">
        <f>TEXT(calls[[#This Row],[Date of Call]],"DDDD")</f>
        <v>Friday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45947</v>
      </c>
      <c r="G848">
        <v>215</v>
      </c>
      <c r="H848">
        <v>4</v>
      </c>
      <c r="I848">
        <f>IF(MONTH(calls[[#This Row],[Date of Call]])&lt;=6, YEAR(calls[[#This Row],[Date of Call]]), YEAR(calls[[#This Row],[Date of Call]])+1)</f>
        <v>2026</v>
      </c>
      <c r="J848" t="str">
        <f>TEXT(calls[[#This Row],[Date of Call]],"DDDD")</f>
        <v>Friday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45948</v>
      </c>
      <c r="G849">
        <v>72</v>
      </c>
      <c r="H849">
        <v>4.7</v>
      </c>
      <c r="I849">
        <f>IF(MONTH(calls[[#This Row],[Date of Call]])&lt;=6, YEAR(calls[[#This Row],[Date of Call]]), YEAR(calls[[#This Row],[Date of Call]])+1)</f>
        <v>2026</v>
      </c>
      <c r="J849" t="str">
        <f>TEXT(calls[[#This Row],[Date of Call]],"DDDD")</f>
        <v>Saturday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45948</v>
      </c>
      <c r="G850">
        <v>160</v>
      </c>
      <c r="H850">
        <v>2.8</v>
      </c>
      <c r="I850">
        <f>IF(MONTH(calls[[#This Row],[Date of Call]])&lt;=6, YEAR(calls[[#This Row],[Date of Call]]), YEAR(calls[[#This Row],[Date of Call]])+1)</f>
        <v>2026</v>
      </c>
      <c r="J850" t="str">
        <f>TEXT(calls[[#This Row],[Date of Call]],"DDDD")</f>
        <v>Saturday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45948</v>
      </c>
      <c r="G851">
        <v>165</v>
      </c>
      <c r="H851">
        <v>2.5</v>
      </c>
      <c r="I851">
        <f>IF(MONTH(calls[[#This Row],[Date of Call]])&lt;=6, YEAR(calls[[#This Row],[Date of Call]]), YEAR(calls[[#This Row],[Date of Call]])+1)</f>
        <v>2026</v>
      </c>
      <c r="J851" t="str">
        <f>TEXT(calls[[#This Row],[Date of Call]],"DDDD")</f>
        <v>Saturday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45948</v>
      </c>
      <c r="G852">
        <v>120</v>
      </c>
      <c r="H852">
        <v>3.4</v>
      </c>
      <c r="I852">
        <f>IF(MONTH(calls[[#This Row],[Date of Call]])&lt;=6, YEAR(calls[[#This Row],[Date of Call]]), YEAR(calls[[#This Row],[Date of Call]])+1)</f>
        <v>2026</v>
      </c>
      <c r="J852" t="str">
        <f>TEXT(calls[[#This Row],[Date of Call]],"DDDD")</f>
        <v>Saturday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45948</v>
      </c>
      <c r="G853">
        <v>117</v>
      </c>
      <c r="H853">
        <v>4.8</v>
      </c>
      <c r="I853">
        <f>IF(MONTH(calls[[#This Row],[Date of Call]])&lt;=6, YEAR(calls[[#This Row],[Date of Call]]), YEAR(calls[[#This Row],[Date of Call]])+1)</f>
        <v>2026</v>
      </c>
      <c r="J853" t="str">
        <f>TEXT(calls[[#This Row],[Date of Call]],"DDDD")</f>
        <v>Saturday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45949</v>
      </c>
      <c r="G854">
        <v>29</v>
      </c>
      <c r="H854">
        <v>4.3</v>
      </c>
      <c r="I854">
        <f>IF(MONTH(calls[[#This Row],[Date of Call]])&lt;=6, YEAR(calls[[#This Row],[Date of Call]]), YEAR(calls[[#This Row],[Date of Call]])+1)</f>
        <v>2026</v>
      </c>
      <c r="J854" t="str">
        <f>TEXT(calls[[#This Row],[Date of Call]],"DDDD")</f>
        <v>Sunday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45949</v>
      </c>
      <c r="G855">
        <v>64</v>
      </c>
      <c r="H855">
        <v>4.5</v>
      </c>
      <c r="I855">
        <f>IF(MONTH(calls[[#This Row],[Date of Call]])&lt;=6, YEAR(calls[[#This Row],[Date of Call]]), YEAR(calls[[#This Row],[Date of Call]])+1)</f>
        <v>2026</v>
      </c>
      <c r="J855" t="str">
        <f>TEXT(calls[[#This Row],[Date of Call]],"DDDD")</f>
        <v>Sunday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45949</v>
      </c>
      <c r="G856">
        <v>84</v>
      </c>
      <c r="H856">
        <v>3.6</v>
      </c>
      <c r="I856">
        <f>IF(MONTH(calls[[#This Row],[Date of Call]])&lt;=6, YEAR(calls[[#This Row],[Date of Call]]), YEAR(calls[[#This Row],[Date of Call]])+1)</f>
        <v>2026</v>
      </c>
      <c r="J856" t="str">
        <f>TEXT(calls[[#This Row],[Date of Call]],"DDDD")</f>
        <v>Sunday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45949</v>
      </c>
      <c r="G857">
        <v>42</v>
      </c>
      <c r="H857">
        <v>3.7</v>
      </c>
      <c r="I857">
        <f>IF(MONTH(calls[[#This Row],[Date of Call]])&lt;=6, YEAR(calls[[#This Row],[Date of Call]]), YEAR(calls[[#This Row],[Date of Call]])+1)</f>
        <v>2026</v>
      </c>
      <c r="J857" t="str">
        <f>TEXT(calls[[#This Row],[Date of Call]],"DDDD")</f>
        <v>Sunday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45949</v>
      </c>
      <c r="G858">
        <v>120</v>
      </c>
      <c r="H858">
        <v>3.5</v>
      </c>
      <c r="I858">
        <f>IF(MONTH(calls[[#This Row],[Date of Call]])&lt;=6, YEAR(calls[[#This Row],[Date of Call]]), YEAR(calls[[#This Row],[Date of Call]])+1)</f>
        <v>2026</v>
      </c>
      <c r="J858" t="str">
        <f>TEXT(calls[[#This Row],[Date of Call]],"DDDD")</f>
        <v>Sunday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45950</v>
      </c>
      <c r="G859">
        <v>80</v>
      </c>
      <c r="H859">
        <v>4.7</v>
      </c>
      <c r="I859">
        <f>IF(MONTH(calls[[#This Row],[Date of Call]])&lt;=6, YEAR(calls[[#This Row],[Date of Call]]), YEAR(calls[[#This Row],[Date of Call]])+1)</f>
        <v>2026</v>
      </c>
      <c r="J859" t="str">
        <f>TEXT(calls[[#This Row],[Date of Call]],"DDDD")</f>
        <v>Monday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45950</v>
      </c>
      <c r="G860">
        <v>185</v>
      </c>
      <c r="H860">
        <v>3.5</v>
      </c>
      <c r="I860">
        <f>IF(MONTH(calls[[#This Row],[Date of Call]])&lt;=6, YEAR(calls[[#This Row],[Date of Call]]), YEAR(calls[[#This Row],[Date of Call]])+1)</f>
        <v>2026</v>
      </c>
      <c r="J860" t="str">
        <f>TEXT(calls[[#This Row],[Date of Call]],"DDDD")</f>
        <v>Monday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45951</v>
      </c>
      <c r="G861">
        <v>135</v>
      </c>
      <c r="H861">
        <v>3.9</v>
      </c>
      <c r="I861">
        <f>IF(MONTH(calls[[#This Row],[Date of Call]])&lt;=6, YEAR(calls[[#This Row],[Date of Call]]), YEAR(calls[[#This Row],[Date of Call]])+1)</f>
        <v>2026</v>
      </c>
      <c r="J861" t="str">
        <f>TEXT(calls[[#This Row],[Date of Call]],"DDDD")</f>
        <v>Tuesday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45951</v>
      </c>
      <c r="G862">
        <v>20</v>
      </c>
      <c r="H862">
        <v>4.8</v>
      </c>
      <c r="I862">
        <f>IF(MONTH(calls[[#This Row],[Date of Call]])&lt;=6, YEAR(calls[[#This Row],[Date of Call]]), YEAR(calls[[#This Row],[Date of Call]])+1)</f>
        <v>2026</v>
      </c>
      <c r="J862" t="str">
        <f>TEXT(calls[[#This Row],[Date of Call]],"DDDD")</f>
        <v>Tuesday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45951</v>
      </c>
      <c r="G863">
        <v>31</v>
      </c>
      <c r="H863">
        <v>4</v>
      </c>
      <c r="I863">
        <f>IF(MONTH(calls[[#This Row],[Date of Call]])&lt;=6, YEAR(calls[[#This Row],[Date of Call]]), YEAR(calls[[#This Row],[Date of Call]])+1)</f>
        <v>2026</v>
      </c>
      <c r="J863" t="str">
        <f>TEXT(calls[[#This Row],[Date of Call]],"DDDD")</f>
        <v>Tuesday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45952</v>
      </c>
      <c r="G864">
        <v>120</v>
      </c>
      <c r="H864">
        <v>4.7</v>
      </c>
      <c r="I864">
        <f>IF(MONTH(calls[[#This Row],[Date of Call]])&lt;=6, YEAR(calls[[#This Row],[Date of Call]]), YEAR(calls[[#This Row],[Date of Call]])+1)</f>
        <v>2026</v>
      </c>
      <c r="J864" t="str">
        <f>TEXT(calls[[#This Row],[Date of Call]],"DDDD")</f>
        <v>Wednesday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45952</v>
      </c>
      <c r="G865">
        <v>117</v>
      </c>
      <c r="H865">
        <v>3.6</v>
      </c>
      <c r="I865">
        <f>IF(MONTH(calls[[#This Row],[Date of Call]])&lt;=6, YEAR(calls[[#This Row],[Date of Call]]), YEAR(calls[[#This Row],[Date of Call]])+1)</f>
        <v>2026</v>
      </c>
      <c r="J865" t="str">
        <f>TEXT(calls[[#This Row],[Date of Call]],"DDDD")</f>
        <v>Wednesday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45952</v>
      </c>
      <c r="G866">
        <v>80</v>
      </c>
      <c r="H866">
        <v>4.5</v>
      </c>
      <c r="I866">
        <f>IF(MONTH(calls[[#This Row],[Date of Call]])&lt;=6, YEAR(calls[[#This Row],[Date of Call]]), YEAR(calls[[#This Row],[Date of Call]])+1)</f>
        <v>2026</v>
      </c>
      <c r="J866" t="str">
        <f>TEXT(calls[[#This Row],[Date of Call]],"DDDD")</f>
        <v>Wednesday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45955</v>
      </c>
      <c r="G867">
        <v>117</v>
      </c>
      <c r="H867">
        <v>4</v>
      </c>
      <c r="I867">
        <f>IF(MONTH(calls[[#This Row],[Date of Call]])&lt;=6, YEAR(calls[[#This Row],[Date of Call]]), YEAR(calls[[#This Row],[Date of Call]])+1)</f>
        <v>2026</v>
      </c>
      <c r="J867" t="str">
        <f>TEXT(calls[[#This Row],[Date of Call]],"DDDD")</f>
        <v>Saturday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45955</v>
      </c>
      <c r="G868">
        <v>60</v>
      </c>
      <c r="H868">
        <v>4.5</v>
      </c>
      <c r="I868">
        <f>IF(MONTH(calls[[#This Row],[Date of Call]])&lt;=6, YEAR(calls[[#This Row],[Date of Call]]), YEAR(calls[[#This Row],[Date of Call]])+1)</f>
        <v>2026</v>
      </c>
      <c r="J868" t="str">
        <f>TEXT(calls[[#This Row],[Date of Call]],"DDDD")</f>
        <v>Saturday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45954</v>
      </c>
      <c r="G869">
        <v>58</v>
      </c>
      <c r="H869">
        <v>3.9</v>
      </c>
      <c r="I869">
        <f>IF(MONTH(calls[[#This Row],[Date of Call]])&lt;=6, YEAR(calls[[#This Row],[Date of Call]]), YEAR(calls[[#This Row],[Date of Call]])+1)</f>
        <v>2026</v>
      </c>
      <c r="J869" t="str">
        <f>TEXT(calls[[#This Row],[Date of Call]],"DDDD")</f>
        <v>Friday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45954</v>
      </c>
      <c r="G870">
        <v>41</v>
      </c>
      <c r="H870">
        <v>4.3</v>
      </c>
      <c r="I870">
        <f>IF(MONTH(calls[[#This Row],[Date of Call]])&lt;=6, YEAR(calls[[#This Row],[Date of Call]]), YEAR(calls[[#This Row],[Date of Call]])+1)</f>
        <v>2026</v>
      </c>
      <c r="J870" t="str">
        <f>TEXT(calls[[#This Row],[Date of Call]],"DDDD")</f>
        <v>Friday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45954</v>
      </c>
      <c r="G871">
        <v>180</v>
      </c>
      <c r="H871">
        <v>3.6</v>
      </c>
      <c r="I871">
        <f>IF(MONTH(calls[[#This Row],[Date of Call]])&lt;=6, YEAR(calls[[#This Row],[Date of Call]]), YEAR(calls[[#This Row],[Date of Call]])+1)</f>
        <v>2026</v>
      </c>
      <c r="J871" t="str">
        <f>TEXT(calls[[#This Row],[Date of Call]],"DDDD")</f>
        <v>Friday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45954</v>
      </c>
      <c r="G872">
        <v>42</v>
      </c>
      <c r="H872">
        <v>3.6</v>
      </c>
      <c r="I872">
        <f>IF(MONTH(calls[[#This Row],[Date of Call]])&lt;=6, YEAR(calls[[#This Row],[Date of Call]]), YEAR(calls[[#This Row],[Date of Call]])+1)</f>
        <v>2026</v>
      </c>
      <c r="J872" t="str">
        <f>TEXT(calls[[#This Row],[Date of Call]],"DDDD")</f>
        <v>Friday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45955</v>
      </c>
      <c r="G873">
        <v>24</v>
      </c>
      <c r="H873">
        <v>4</v>
      </c>
      <c r="I873">
        <f>IF(MONTH(calls[[#This Row],[Date of Call]])&lt;=6, YEAR(calls[[#This Row],[Date of Call]]), YEAR(calls[[#This Row],[Date of Call]])+1)</f>
        <v>2026</v>
      </c>
      <c r="J873" t="str">
        <f>TEXT(calls[[#This Row],[Date of Call]],"DDDD")</f>
        <v>Saturday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45955</v>
      </c>
      <c r="G874">
        <v>125</v>
      </c>
      <c r="H874">
        <v>4.2</v>
      </c>
      <c r="I874">
        <f>IF(MONTH(calls[[#This Row],[Date of Call]])&lt;=6, YEAR(calls[[#This Row],[Date of Call]]), YEAR(calls[[#This Row],[Date of Call]])+1)</f>
        <v>2026</v>
      </c>
      <c r="J874" t="str">
        <f>TEXT(calls[[#This Row],[Date of Call]],"DDDD")</f>
        <v>Saturday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45956</v>
      </c>
      <c r="G875">
        <v>78</v>
      </c>
      <c r="H875">
        <v>4.3</v>
      </c>
      <c r="I875">
        <f>IF(MONTH(calls[[#This Row],[Date of Call]])&lt;=6, YEAR(calls[[#This Row],[Date of Call]]), YEAR(calls[[#This Row],[Date of Call]])+1)</f>
        <v>2026</v>
      </c>
      <c r="J875" t="str">
        <f>TEXT(calls[[#This Row],[Date of Call]],"DDDD")</f>
        <v>Sunday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45956</v>
      </c>
      <c r="G876">
        <v>180</v>
      </c>
      <c r="H876">
        <v>3.8</v>
      </c>
      <c r="I876">
        <f>IF(MONTH(calls[[#This Row],[Date of Call]])&lt;=6, YEAR(calls[[#This Row],[Date of Call]]), YEAR(calls[[#This Row],[Date of Call]])+1)</f>
        <v>2026</v>
      </c>
      <c r="J876" t="str">
        <f>TEXT(calls[[#This Row],[Date of Call]],"DDDD")</f>
        <v>Sunday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45956</v>
      </c>
      <c r="G877">
        <v>84</v>
      </c>
      <c r="H877">
        <v>4.4000000000000004</v>
      </c>
      <c r="I877">
        <f>IF(MONTH(calls[[#This Row],[Date of Call]])&lt;=6, YEAR(calls[[#This Row],[Date of Call]]), YEAR(calls[[#This Row],[Date of Call]])+1)</f>
        <v>2026</v>
      </c>
      <c r="J877" t="str">
        <f>TEXT(calls[[#This Row],[Date of Call]],"DDDD")</f>
        <v>Sunday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45956</v>
      </c>
      <c r="G878">
        <v>26</v>
      </c>
      <c r="H878">
        <v>4.7</v>
      </c>
      <c r="I878">
        <f>IF(MONTH(calls[[#This Row],[Date of Call]])&lt;=6, YEAR(calls[[#This Row],[Date of Call]]), YEAR(calls[[#This Row],[Date of Call]])+1)</f>
        <v>2026</v>
      </c>
      <c r="J878" t="str">
        <f>TEXT(calls[[#This Row],[Date of Call]],"DDDD")</f>
        <v>Sunday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45957</v>
      </c>
      <c r="G879">
        <v>140</v>
      </c>
      <c r="H879">
        <v>3.6</v>
      </c>
      <c r="I879">
        <f>IF(MONTH(calls[[#This Row],[Date of Call]])&lt;=6, YEAR(calls[[#This Row],[Date of Call]]), YEAR(calls[[#This Row],[Date of Call]])+1)</f>
        <v>2026</v>
      </c>
      <c r="J879" t="str">
        <f>TEXT(calls[[#This Row],[Date of Call]],"DDDD")</f>
        <v>Monday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45957</v>
      </c>
      <c r="G880">
        <v>31</v>
      </c>
      <c r="H880">
        <v>2.2000000000000002</v>
      </c>
      <c r="I880">
        <f>IF(MONTH(calls[[#This Row],[Date of Call]])&lt;=6, YEAR(calls[[#This Row],[Date of Call]]), YEAR(calls[[#This Row],[Date of Call]])+1)</f>
        <v>2026</v>
      </c>
      <c r="J880" t="str">
        <f>TEXT(calls[[#This Row],[Date of Call]],"DDDD")</f>
        <v>Monday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45957</v>
      </c>
      <c r="G881">
        <v>108</v>
      </c>
      <c r="H881">
        <v>4.8</v>
      </c>
      <c r="I881">
        <f>IF(MONTH(calls[[#This Row],[Date of Call]])&lt;=6, YEAR(calls[[#This Row],[Date of Call]]), YEAR(calls[[#This Row],[Date of Call]])+1)</f>
        <v>2026</v>
      </c>
      <c r="J881" t="str">
        <f>TEXT(calls[[#This Row],[Date of Call]],"DDDD")</f>
        <v>Monday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45958</v>
      </c>
      <c r="G882">
        <v>58</v>
      </c>
      <c r="H882">
        <v>4.3</v>
      </c>
      <c r="I882">
        <f>IF(MONTH(calls[[#This Row],[Date of Call]])&lt;=6, YEAR(calls[[#This Row],[Date of Call]]), YEAR(calls[[#This Row],[Date of Call]])+1)</f>
        <v>2026</v>
      </c>
      <c r="J882" t="str">
        <f>TEXT(calls[[#This Row],[Date of Call]],"DDDD")</f>
        <v>Tuesday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45958</v>
      </c>
      <c r="G883">
        <v>185</v>
      </c>
      <c r="H883">
        <v>2.2000000000000002</v>
      </c>
      <c r="I883">
        <f>IF(MONTH(calls[[#This Row],[Date of Call]])&lt;=6, YEAR(calls[[#This Row],[Date of Call]]), YEAR(calls[[#This Row],[Date of Call]])+1)</f>
        <v>2026</v>
      </c>
      <c r="J883" t="str">
        <f>TEXT(calls[[#This Row],[Date of Call]],"DDDD")</f>
        <v>Tuesday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45958</v>
      </c>
      <c r="G884">
        <v>40</v>
      </c>
      <c r="H884">
        <v>4.8</v>
      </c>
      <c r="I884">
        <f>IF(MONTH(calls[[#This Row],[Date of Call]])&lt;=6, YEAR(calls[[#This Row],[Date of Call]]), YEAR(calls[[#This Row],[Date of Call]])+1)</f>
        <v>2026</v>
      </c>
      <c r="J884" t="str">
        <f>TEXT(calls[[#This Row],[Date of Call]],"DDDD")</f>
        <v>Tuesday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45958</v>
      </c>
      <c r="G885">
        <v>225</v>
      </c>
      <c r="H885">
        <v>2.6</v>
      </c>
      <c r="I885">
        <f>IF(MONTH(calls[[#This Row],[Date of Call]])&lt;=6, YEAR(calls[[#This Row],[Date of Call]]), YEAR(calls[[#This Row],[Date of Call]])+1)</f>
        <v>2026</v>
      </c>
      <c r="J885" t="str">
        <f>TEXT(calls[[#This Row],[Date of Call]],"DDDD")</f>
        <v>Tuesday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45958</v>
      </c>
      <c r="G886">
        <v>150</v>
      </c>
      <c r="H886">
        <v>2.6</v>
      </c>
      <c r="I886">
        <f>IF(MONTH(calls[[#This Row],[Date of Call]])&lt;=6, YEAR(calls[[#This Row],[Date of Call]]), YEAR(calls[[#This Row],[Date of Call]])+1)</f>
        <v>2026</v>
      </c>
      <c r="J886" t="str">
        <f>TEXT(calls[[#This Row],[Date of Call]],"DDDD")</f>
        <v>Tuesday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45959</v>
      </c>
      <c r="G887">
        <v>88</v>
      </c>
      <c r="H887">
        <v>3.4</v>
      </c>
      <c r="I887">
        <f>IF(MONTH(calls[[#This Row],[Date of Call]])&lt;=6, YEAR(calls[[#This Row],[Date of Call]]), YEAR(calls[[#This Row],[Date of Call]])+1)</f>
        <v>2026</v>
      </c>
      <c r="J887" t="str">
        <f>TEXT(calls[[#This Row],[Date of Call]],"DDDD")</f>
        <v>Wednesday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45959</v>
      </c>
      <c r="G888">
        <v>140</v>
      </c>
      <c r="H888">
        <v>3.7</v>
      </c>
      <c r="I888">
        <f>IF(MONTH(calls[[#This Row],[Date of Call]])&lt;=6, YEAR(calls[[#This Row],[Date of Call]]), YEAR(calls[[#This Row],[Date of Call]])+1)</f>
        <v>2026</v>
      </c>
      <c r="J888" t="str">
        <f>TEXT(calls[[#This Row],[Date of Call]],"DDDD")</f>
        <v>Wednesday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45959</v>
      </c>
      <c r="G889">
        <v>68</v>
      </c>
      <c r="H889">
        <v>2.1</v>
      </c>
      <c r="I889">
        <f>IF(MONTH(calls[[#This Row],[Date of Call]])&lt;=6, YEAR(calls[[#This Row],[Date of Call]]), YEAR(calls[[#This Row],[Date of Call]])+1)</f>
        <v>2026</v>
      </c>
      <c r="J889" t="str">
        <f>TEXT(calls[[#This Row],[Date of Call]],"DDDD")</f>
        <v>Wednesday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45960</v>
      </c>
      <c r="G890">
        <v>105</v>
      </c>
      <c r="H890">
        <v>3.6</v>
      </c>
      <c r="I890">
        <f>IF(MONTH(calls[[#This Row],[Date of Call]])&lt;=6, YEAR(calls[[#This Row],[Date of Call]]), YEAR(calls[[#This Row],[Date of Call]])+1)</f>
        <v>2026</v>
      </c>
      <c r="J890" t="str">
        <f>TEXT(calls[[#This Row],[Date of Call]],"DDDD")</f>
        <v>Thursday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45960</v>
      </c>
      <c r="G891">
        <v>40</v>
      </c>
      <c r="H891">
        <v>3.8</v>
      </c>
      <c r="I891">
        <f>IF(MONTH(calls[[#This Row],[Date of Call]])&lt;=6, YEAR(calls[[#This Row],[Date of Call]]), YEAR(calls[[#This Row],[Date of Call]])+1)</f>
        <v>2026</v>
      </c>
      <c r="J891" t="str">
        <f>TEXT(calls[[#This Row],[Date of Call]],"DDDD")</f>
        <v>Thursday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45960</v>
      </c>
      <c r="G892">
        <v>82</v>
      </c>
      <c r="H892">
        <v>3.1</v>
      </c>
      <c r="I892">
        <f>IF(MONTH(calls[[#This Row],[Date of Call]])&lt;=6, YEAR(calls[[#This Row],[Date of Call]]), YEAR(calls[[#This Row],[Date of Call]])+1)</f>
        <v>2026</v>
      </c>
      <c r="J892" t="str">
        <f>TEXT(calls[[#This Row],[Date of Call]],"DDDD")</f>
        <v>Thursday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45961</v>
      </c>
      <c r="G893">
        <v>90</v>
      </c>
      <c r="H893">
        <v>4.4000000000000004</v>
      </c>
      <c r="I893">
        <f>IF(MONTH(calls[[#This Row],[Date of Call]])&lt;=6, YEAR(calls[[#This Row],[Date of Call]]), YEAR(calls[[#This Row],[Date of Call]])+1)</f>
        <v>2026</v>
      </c>
      <c r="J893" t="str">
        <f>TEXT(calls[[#This Row],[Date of Call]],"DDDD")</f>
        <v>Friday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45962</v>
      </c>
      <c r="G894">
        <v>66</v>
      </c>
      <c r="H894">
        <v>4.8</v>
      </c>
      <c r="I894">
        <f>IF(MONTH(calls[[#This Row],[Date of Call]])&lt;=6, YEAR(calls[[#This Row],[Date of Call]]), YEAR(calls[[#This Row],[Date of Call]])+1)</f>
        <v>2026</v>
      </c>
      <c r="J894" t="str">
        <f>TEXT(calls[[#This Row],[Date of Call]],"DDDD")</f>
        <v>Saturday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45962</v>
      </c>
      <c r="G895">
        <v>78</v>
      </c>
      <c r="H895">
        <v>3.5</v>
      </c>
      <c r="I895">
        <f>IF(MONTH(calls[[#This Row],[Date of Call]])&lt;=6, YEAR(calls[[#This Row],[Date of Call]]), YEAR(calls[[#This Row],[Date of Call]])+1)</f>
        <v>2026</v>
      </c>
      <c r="J895" t="str">
        <f>TEXT(calls[[#This Row],[Date of Call]],"DDDD")</f>
        <v>Saturday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45963</v>
      </c>
      <c r="G896">
        <v>66</v>
      </c>
      <c r="H896">
        <v>4.4000000000000004</v>
      </c>
      <c r="I896">
        <f>IF(MONTH(calls[[#This Row],[Date of Call]])&lt;=6, YEAR(calls[[#This Row],[Date of Call]]), YEAR(calls[[#This Row],[Date of Call]])+1)</f>
        <v>2026</v>
      </c>
      <c r="J896" t="str">
        <f>TEXT(calls[[#This Row],[Date of Call]],"DDDD")</f>
        <v>Sunday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45964</v>
      </c>
      <c r="G897">
        <v>160</v>
      </c>
      <c r="H897">
        <v>3.8</v>
      </c>
      <c r="I897">
        <f>IF(MONTH(calls[[#This Row],[Date of Call]])&lt;=6, YEAR(calls[[#This Row],[Date of Call]]), YEAR(calls[[#This Row],[Date of Call]])+1)</f>
        <v>2026</v>
      </c>
      <c r="J897" t="str">
        <f>TEXT(calls[[#This Row],[Date of Call]],"DDDD")</f>
        <v>Monday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45965</v>
      </c>
      <c r="G898">
        <v>144</v>
      </c>
      <c r="H898">
        <v>3.8</v>
      </c>
      <c r="I898">
        <f>IF(MONTH(calls[[#This Row],[Date of Call]])&lt;=6, YEAR(calls[[#This Row],[Date of Call]]), YEAR(calls[[#This Row],[Date of Call]])+1)</f>
        <v>2026</v>
      </c>
      <c r="J898" t="str">
        <f>TEXT(calls[[#This Row],[Date of Call]],"DDDD")</f>
        <v>Tuesday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45965</v>
      </c>
      <c r="G899">
        <v>200</v>
      </c>
      <c r="H899">
        <v>4.5999999999999996</v>
      </c>
      <c r="I899">
        <f>IF(MONTH(calls[[#This Row],[Date of Call]])&lt;=6, YEAR(calls[[#This Row],[Date of Call]]), YEAR(calls[[#This Row],[Date of Call]])+1)</f>
        <v>2026</v>
      </c>
      <c r="J899" t="str">
        <f>TEXT(calls[[#This Row],[Date of Call]],"DDDD")</f>
        <v>Tuesday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45967</v>
      </c>
      <c r="G900">
        <v>220</v>
      </c>
      <c r="H900">
        <v>5</v>
      </c>
      <c r="I900">
        <f>IF(MONTH(calls[[#This Row],[Date of Call]])&lt;=6, YEAR(calls[[#This Row],[Date of Call]]), YEAR(calls[[#This Row],[Date of Call]])+1)</f>
        <v>2026</v>
      </c>
      <c r="J900" t="str">
        <f>TEXT(calls[[#This Row],[Date of Call]],"DDDD")</f>
        <v>Thursday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45968</v>
      </c>
      <c r="G901">
        <v>112</v>
      </c>
      <c r="H901">
        <v>3.2</v>
      </c>
      <c r="I901">
        <f>IF(MONTH(calls[[#This Row],[Date of Call]])&lt;=6, YEAR(calls[[#This Row],[Date of Call]]), YEAR(calls[[#This Row],[Date of Call]])+1)</f>
        <v>2026</v>
      </c>
      <c r="J901" t="str">
        <f>TEXT(calls[[#This Row],[Date of Call]],"DDDD")</f>
        <v>Friday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45968</v>
      </c>
      <c r="G902">
        <v>110</v>
      </c>
      <c r="H902">
        <v>3.7</v>
      </c>
      <c r="I902">
        <f>IF(MONTH(calls[[#This Row],[Date of Call]])&lt;=6, YEAR(calls[[#This Row],[Date of Call]]), YEAR(calls[[#This Row],[Date of Call]])+1)</f>
        <v>2026</v>
      </c>
      <c r="J902" t="str">
        <f>TEXT(calls[[#This Row],[Date of Call]],"DDDD")</f>
        <v>Friday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45969</v>
      </c>
      <c r="G903">
        <v>160</v>
      </c>
      <c r="H903">
        <v>2.7</v>
      </c>
      <c r="I903">
        <f>IF(MONTH(calls[[#This Row],[Date of Call]])&lt;=6, YEAR(calls[[#This Row],[Date of Call]]), YEAR(calls[[#This Row],[Date of Call]])+1)</f>
        <v>2026</v>
      </c>
      <c r="J903" t="str">
        <f>TEXT(calls[[#This Row],[Date of Call]],"DDDD")</f>
        <v>Saturday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45969</v>
      </c>
      <c r="G904">
        <v>84</v>
      </c>
      <c r="H904">
        <v>4</v>
      </c>
      <c r="I904">
        <f>IF(MONTH(calls[[#This Row],[Date of Call]])&lt;=6, YEAR(calls[[#This Row],[Date of Call]]), YEAR(calls[[#This Row],[Date of Call]])+1)</f>
        <v>2026</v>
      </c>
      <c r="J904" t="str">
        <f>TEXT(calls[[#This Row],[Date of Call]],"DDDD")</f>
        <v>Saturday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45969</v>
      </c>
      <c r="G905">
        <v>124</v>
      </c>
      <c r="H905">
        <v>2.6</v>
      </c>
      <c r="I905">
        <f>IF(MONTH(calls[[#This Row],[Date of Call]])&lt;=6, YEAR(calls[[#This Row],[Date of Call]]), YEAR(calls[[#This Row],[Date of Call]])+1)</f>
        <v>2026</v>
      </c>
      <c r="J905" t="str">
        <f>TEXT(calls[[#This Row],[Date of Call]],"DDDD")</f>
        <v>Saturday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45969</v>
      </c>
      <c r="G906">
        <v>84</v>
      </c>
      <c r="H906">
        <v>4.5999999999999996</v>
      </c>
      <c r="I906">
        <f>IF(MONTH(calls[[#This Row],[Date of Call]])&lt;=6, YEAR(calls[[#This Row],[Date of Call]]), YEAR(calls[[#This Row],[Date of Call]])+1)</f>
        <v>2026</v>
      </c>
      <c r="J906" t="str">
        <f>TEXT(calls[[#This Row],[Date of Call]],"DDDD")</f>
        <v>Saturday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45970</v>
      </c>
      <c r="G907">
        <v>130</v>
      </c>
      <c r="H907">
        <v>2.7</v>
      </c>
      <c r="I907">
        <f>IF(MONTH(calls[[#This Row],[Date of Call]])&lt;=6, YEAR(calls[[#This Row],[Date of Call]]), YEAR(calls[[#This Row],[Date of Call]])+1)</f>
        <v>2026</v>
      </c>
      <c r="J907" t="str">
        <f>TEXT(calls[[#This Row],[Date of Call]],"DDDD")</f>
        <v>Sunday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45970</v>
      </c>
      <c r="G908">
        <v>215</v>
      </c>
      <c r="H908">
        <v>3.5</v>
      </c>
      <c r="I908">
        <f>IF(MONTH(calls[[#This Row],[Date of Call]])&lt;=6, YEAR(calls[[#This Row],[Date of Call]]), YEAR(calls[[#This Row],[Date of Call]])+1)</f>
        <v>2026</v>
      </c>
      <c r="J908" t="str">
        <f>TEXT(calls[[#This Row],[Date of Call]],"DDDD")</f>
        <v>Sunday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45971</v>
      </c>
      <c r="G909">
        <v>132</v>
      </c>
      <c r="H909">
        <v>3.6</v>
      </c>
      <c r="I909">
        <f>IF(MONTH(calls[[#This Row],[Date of Call]])&lt;=6, YEAR(calls[[#This Row],[Date of Call]]), YEAR(calls[[#This Row],[Date of Call]])+1)</f>
        <v>2026</v>
      </c>
      <c r="J909" t="str">
        <f>TEXT(calls[[#This Row],[Date of Call]],"DDDD")</f>
        <v>Monday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45971</v>
      </c>
      <c r="G910">
        <v>88</v>
      </c>
      <c r="H910">
        <v>4.9000000000000004</v>
      </c>
      <c r="I910">
        <f>IF(MONTH(calls[[#This Row],[Date of Call]])&lt;=6, YEAR(calls[[#This Row],[Date of Call]]), YEAR(calls[[#This Row],[Date of Call]])+1)</f>
        <v>2026</v>
      </c>
      <c r="J910" t="str">
        <f>TEXT(calls[[#This Row],[Date of Call]],"DDDD")</f>
        <v>Monday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45971</v>
      </c>
      <c r="G911">
        <v>140</v>
      </c>
      <c r="H911">
        <v>3.9</v>
      </c>
      <c r="I911">
        <f>IF(MONTH(calls[[#This Row],[Date of Call]])&lt;=6, YEAR(calls[[#This Row],[Date of Call]]), YEAR(calls[[#This Row],[Date of Call]])+1)</f>
        <v>2026</v>
      </c>
      <c r="J911" t="str">
        <f>TEXT(calls[[#This Row],[Date of Call]],"DDDD")</f>
        <v>Monday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45972</v>
      </c>
      <c r="G912">
        <v>66</v>
      </c>
      <c r="H912">
        <v>4.7</v>
      </c>
      <c r="I912">
        <f>IF(MONTH(calls[[#This Row],[Date of Call]])&lt;=6, YEAR(calls[[#This Row],[Date of Call]]), YEAR(calls[[#This Row],[Date of Call]])+1)</f>
        <v>2026</v>
      </c>
      <c r="J912" t="str">
        <f>TEXT(calls[[#This Row],[Date of Call]],"DDDD")</f>
        <v>Tuesday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45972</v>
      </c>
      <c r="G913">
        <v>23</v>
      </c>
      <c r="H913">
        <v>4.5</v>
      </c>
      <c r="I913">
        <f>IF(MONTH(calls[[#This Row],[Date of Call]])&lt;=6, YEAR(calls[[#This Row],[Date of Call]]), YEAR(calls[[#This Row],[Date of Call]])+1)</f>
        <v>2026</v>
      </c>
      <c r="J913" t="str">
        <f>TEXT(calls[[#This Row],[Date of Call]],"DDDD")</f>
        <v>Tuesday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45973</v>
      </c>
      <c r="G914">
        <v>220</v>
      </c>
      <c r="H914">
        <v>4.5</v>
      </c>
      <c r="I914">
        <f>IF(MONTH(calls[[#This Row],[Date of Call]])&lt;=6, YEAR(calls[[#This Row],[Date of Call]]), YEAR(calls[[#This Row],[Date of Call]])+1)</f>
        <v>2026</v>
      </c>
      <c r="J914" t="str">
        <f>TEXT(calls[[#This Row],[Date of Call]],"DDDD")</f>
        <v>Wednesday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45974</v>
      </c>
      <c r="G915">
        <v>175</v>
      </c>
      <c r="H915">
        <v>4.4000000000000004</v>
      </c>
      <c r="I915">
        <f>IF(MONTH(calls[[#This Row],[Date of Call]])&lt;=6, YEAR(calls[[#This Row],[Date of Call]]), YEAR(calls[[#This Row],[Date of Call]])+1)</f>
        <v>2026</v>
      </c>
      <c r="J915" t="str">
        <f>TEXT(calls[[#This Row],[Date of Call]],"DDDD")</f>
        <v>Thursday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45974</v>
      </c>
      <c r="G916">
        <v>172</v>
      </c>
      <c r="H916">
        <v>4.0999999999999996</v>
      </c>
      <c r="I916">
        <f>IF(MONTH(calls[[#This Row],[Date of Call]])&lt;=6, YEAR(calls[[#This Row],[Date of Call]]), YEAR(calls[[#This Row],[Date of Call]])+1)</f>
        <v>2026</v>
      </c>
      <c r="J916" t="str">
        <f>TEXT(calls[[#This Row],[Date of Call]],"DDDD")</f>
        <v>Thursday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45974</v>
      </c>
      <c r="G917">
        <v>108</v>
      </c>
      <c r="H917">
        <v>3.8</v>
      </c>
      <c r="I917">
        <f>IF(MONTH(calls[[#This Row],[Date of Call]])&lt;=6, YEAR(calls[[#This Row],[Date of Call]]), YEAR(calls[[#This Row],[Date of Call]])+1)</f>
        <v>2026</v>
      </c>
      <c r="J917" t="str">
        <f>TEXT(calls[[#This Row],[Date of Call]],"DDDD")</f>
        <v>Thursday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45975</v>
      </c>
      <c r="G918">
        <v>43</v>
      </c>
      <c r="H918">
        <v>4.2</v>
      </c>
      <c r="I918">
        <f>IF(MONTH(calls[[#This Row],[Date of Call]])&lt;=6, YEAR(calls[[#This Row],[Date of Call]]), YEAR(calls[[#This Row],[Date of Call]])+1)</f>
        <v>2026</v>
      </c>
      <c r="J918" t="str">
        <f>TEXT(calls[[#This Row],[Date of Call]],"DDDD")</f>
        <v>Friday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45975</v>
      </c>
      <c r="G919">
        <v>44</v>
      </c>
      <c r="H919">
        <v>2.2000000000000002</v>
      </c>
      <c r="I919">
        <f>IF(MONTH(calls[[#This Row],[Date of Call]])&lt;=6, YEAR(calls[[#This Row],[Date of Call]]), YEAR(calls[[#This Row],[Date of Call]])+1)</f>
        <v>2026</v>
      </c>
      <c r="J919" t="str">
        <f>TEXT(calls[[#This Row],[Date of Call]],"DDDD")</f>
        <v>Friday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45975</v>
      </c>
      <c r="G920">
        <v>105</v>
      </c>
      <c r="H920">
        <v>3.9</v>
      </c>
      <c r="I920">
        <f>IF(MONTH(calls[[#This Row],[Date of Call]])&lt;=6, YEAR(calls[[#This Row],[Date of Call]]), YEAR(calls[[#This Row],[Date of Call]])+1)</f>
        <v>2026</v>
      </c>
      <c r="J920" t="str">
        <f>TEXT(calls[[#This Row],[Date of Call]],"DDDD")</f>
        <v>Friday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45976</v>
      </c>
      <c r="G921">
        <v>34</v>
      </c>
      <c r="H921">
        <v>3.9</v>
      </c>
      <c r="I921">
        <f>IF(MONTH(calls[[#This Row],[Date of Call]])&lt;=6, YEAR(calls[[#This Row],[Date of Call]]), YEAR(calls[[#This Row],[Date of Call]])+1)</f>
        <v>2026</v>
      </c>
      <c r="J921" t="str">
        <f>TEXT(calls[[#This Row],[Date of Call]],"DDDD")</f>
        <v>Saturday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45976</v>
      </c>
      <c r="G922">
        <v>220</v>
      </c>
      <c r="H922">
        <v>4.0999999999999996</v>
      </c>
      <c r="I922">
        <f>IF(MONTH(calls[[#This Row],[Date of Call]])&lt;=6, YEAR(calls[[#This Row],[Date of Call]]), YEAR(calls[[#This Row],[Date of Call]])+1)</f>
        <v>2026</v>
      </c>
      <c r="J922" t="str">
        <f>TEXT(calls[[#This Row],[Date of Call]],"DDDD")</f>
        <v>Saturday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45976</v>
      </c>
      <c r="G923">
        <v>225</v>
      </c>
      <c r="H923">
        <v>4.5999999999999996</v>
      </c>
      <c r="I923">
        <f>IF(MONTH(calls[[#This Row],[Date of Call]])&lt;=6, YEAR(calls[[#This Row],[Date of Call]]), YEAR(calls[[#This Row],[Date of Call]])+1)</f>
        <v>2026</v>
      </c>
      <c r="J923" t="str">
        <f>TEXT(calls[[#This Row],[Date of Call]],"DDDD")</f>
        <v>Saturday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45977</v>
      </c>
      <c r="G924">
        <v>37</v>
      </c>
      <c r="H924">
        <v>4.0999999999999996</v>
      </c>
      <c r="I924">
        <f>IF(MONTH(calls[[#This Row],[Date of Call]])&lt;=6, YEAR(calls[[#This Row],[Date of Call]]), YEAR(calls[[#This Row],[Date of Call]])+1)</f>
        <v>2026</v>
      </c>
      <c r="J924" t="str">
        <f>TEXT(calls[[#This Row],[Date of Call]],"DDDD")</f>
        <v>Sunday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45977</v>
      </c>
      <c r="G925">
        <v>44</v>
      </c>
      <c r="H925">
        <v>5</v>
      </c>
      <c r="I925">
        <f>IF(MONTH(calls[[#This Row],[Date of Call]])&lt;=6, YEAR(calls[[#This Row],[Date of Call]]), YEAR(calls[[#This Row],[Date of Call]])+1)</f>
        <v>2026</v>
      </c>
      <c r="J925" t="str">
        <f>TEXT(calls[[#This Row],[Date of Call]],"DDDD")</f>
        <v>Sunday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45978</v>
      </c>
      <c r="G926">
        <v>35</v>
      </c>
      <c r="H926">
        <v>2.8</v>
      </c>
      <c r="I926">
        <f>IF(MONTH(calls[[#This Row],[Date of Call]])&lt;=6, YEAR(calls[[#This Row],[Date of Call]]), YEAR(calls[[#This Row],[Date of Call]])+1)</f>
        <v>2026</v>
      </c>
      <c r="J926" t="str">
        <f>TEXT(calls[[#This Row],[Date of Call]],"DDDD")</f>
        <v>Monday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45978</v>
      </c>
      <c r="G927">
        <v>145</v>
      </c>
      <c r="H927">
        <v>2.7</v>
      </c>
      <c r="I927">
        <f>IF(MONTH(calls[[#This Row],[Date of Call]])&lt;=6, YEAR(calls[[#This Row],[Date of Call]]), YEAR(calls[[#This Row],[Date of Call]])+1)</f>
        <v>2026</v>
      </c>
      <c r="J927" t="str">
        <f>TEXT(calls[[#This Row],[Date of Call]],"DDDD")</f>
        <v>Monday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45978</v>
      </c>
      <c r="G928">
        <v>64</v>
      </c>
      <c r="H928">
        <v>3.9</v>
      </c>
      <c r="I928">
        <f>IF(MONTH(calls[[#This Row],[Date of Call]])&lt;=6, YEAR(calls[[#This Row],[Date of Call]]), YEAR(calls[[#This Row],[Date of Call]])+1)</f>
        <v>2026</v>
      </c>
      <c r="J928" t="str">
        <f>TEXT(calls[[#This Row],[Date of Call]],"DDDD")</f>
        <v>Monday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45979</v>
      </c>
      <c r="G929">
        <v>185</v>
      </c>
      <c r="H929">
        <v>4.3</v>
      </c>
      <c r="I929">
        <f>IF(MONTH(calls[[#This Row],[Date of Call]])&lt;=6, YEAR(calls[[#This Row],[Date of Call]]), YEAR(calls[[#This Row],[Date of Call]])+1)</f>
        <v>2026</v>
      </c>
      <c r="J929" t="str">
        <f>TEXT(calls[[#This Row],[Date of Call]],"DDDD")</f>
        <v>Tuesday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45979</v>
      </c>
      <c r="G930">
        <v>215</v>
      </c>
      <c r="H930">
        <v>2.5</v>
      </c>
      <c r="I930">
        <f>IF(MONTH(calls[[#This Row],[Date of Call]])&lt;=6, YEAR(calls[[#This Row],[Date of Call]]), YEAR(calls[[#This Row],[Date of Call]])+1)</f>
        <v>2026</v>
      </c>
      <c r="J930" t="str">
        <f>TEXT(calls[[#This Row],[Date of Call]],"DDDD")</f>
        <v>Tuesday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45979</v>
      </c>
      <c r="G931">
        <v>88</v>
      </c>
      <c r="H931">
        <v>3.4</v>
      </c>
      <c r="I931">
        <f>IF(MONTH(calls[[#This Row],[Date of Call]])&lt;=6, YEAR(calls[[#This Row],[Date of Call]]), YEAR(calls[[#This Row],[Date of Call]])+1)</f>
        <v>2026</v>
      </c>
      <c r="J931" t="str">
        <f>TEXT(calls[[#This Row],[Date of Call]],"DDDD")</f>
        <v>Tuesday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45979</v>
      </c>
      <c r="G932">
        <v>23</v>
      </c>
      <c r="H932">
        <v>3.4</v>
      </c>
      <c r="I932">
        <f>IF(MONTH(calls[[#This Row],[Date of Call]])&lt;=6, YEAR(calls[[#This Row],[Date of Call]]), YEAR(calls[[#This Row],[Date of Call]])+1)</f>
        <v>2026</v>
      </c>
      <c r="J932" t="str">
        <f>TEXT(calls[[#This Row],[Date of Call]],"DDDD")</f>
        <v>Tuesday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45980</v>
      </c>
      <c r="G933">
        <v>180</v>
      </c>
      <c r="H933">
        <v>1.8</v>
      </c>
      <c r="I933">
        <f>IF(MONTH(calls[[#This Row],[Date of Call]])&lt;=6, YEAR(calls[[#This Row],[Date of Call]]), YEAR(calls[[#This Row],[Date of Call]])+1)</f>
        <v>2026</v>
      </c>
      <c r="J933" t="str">
        <f>TEXT(calls[[#This Row],[Date of Call]],"DDDD")</f>
        <v>Wednesday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45981</v>
      </c>
      <c r="G934">
        <v>225</v>
      </c>
      <c r="H934">
        <v>3.7</v>
      </c>
      <c r="I934">
        <f>IF(MONTH(calls[[#This Row],[Date of Call]])&lt;=6, YEAR(calls[[#This Row],[Date of Call]]), YEAR(calls[[#This Row],[Date of Call]])+1)</f>
        <v>2026</v>
      </c>
      <c r="J934" t="str">
        <f>TEXT(calls[[#This Row],[Date of Call]],"DDDD")</f>
        <v>Thursday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45982</v>
      </c>
      <c r="G935">
        <v>74</v>
      </c>
      <c r="H935">
        <v>4.0999999999999996</v>
      </c>
      <c r="I935">
        <f>IF(MONTH(calls[[#This Row],[Date of Call]])&lt;=6, YEAR(calls[[#This Row],[Date of Call]]), YEAR(calls[[#This Row],[Date of Call]])+1)</f>
        <v>2026</v>
      </c>
      <c r="J935" t="str">
        <f>TEXT(calls[[#This Row],[Date of Call]],"DDDD")</f>
        <v>Friday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45982</v>
      </c>
      <c r="G936">
        <v>36</v>
      </c>
      <c r="H936">
        <v>3</v>
      </c>
      <c r="I936">
        <f>IF(MONTH(calls[[#This Row],[Date of Call]])&lt;=6, YEAR(calls[[#This Row],[Date of Call]]), YEAR(calls[[#This Row],[Date of Call]])+1)</f>
        <v>2026</v>
      </c>
      <c r="J936" t="str">
        <f>TEXT(calls[[#This Row],[Date of Call]],"DDDD")</f>
        <v>Friday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45986</v>
      </c>
      <c r="G937">
        <v>116</v>
      </c>
      <c r="H937">
        <v>3.9</v>
      </c>
      <c r="I937">
        <f>IF(MONTH(calls[[#This Row],[Date of Call]])&lt;=6, YEAR(calls[[#This Row],[Date of Call]]), YEAR(calls[[#This Row],[Date of Call]])+1)</f>
        <v>2026</v>
      </c>
      <c r="J937" t="str">
        <f>TEXT(calls[[#This Row],[Date of Call]],"DDDD")</f>
        <v>Tuesday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45986</v>
      </c>
      <c r="G938">
        <v>140</v>
      </c>
      <c r="H938">
        <v>4</v>
      </c>
      <c r="I938">
        <f>IF(MONTH(calls[[#This Row],[Date of Call]])&lt;=6, YEAR(calls[[#This Row],[Date of Call]]), YEAR(calls[[#This Row],[Date of Call]])+1)</f>
        <v>2026</v>
      </c>
      <c r="J938" t="str">
        <f>TEXT(calls[[#This Row],[Date of Call]],"DDDD")</f>
        <v>Tuesday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45985</v>
      </c>
      <c r="G939">
        <v>104</v>
      </c>
      <c r="H939">
        <v>4.5</v>
      </c>
      <c r="I939">
        <f>IF(MONTH(calls[[#This Row],[Date of Call]])&lt;=6, YEAR(calls[[#This Row],[Date of Call]]), YEAR(calls[[#This Row],[Date of Call]])+1)</f>
        <v>2026</v>
      </c>
      <c r="J939" t="str">
        <f>TEXT(calls[[#This Row],[Date of Call]],"DDDD")</f>
        <v>Monday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45985</v>
      </c>
      <c r="G940">
        <v>148</v>
      </c>
      <c r="H940">
        <v>4</v>
      </c>
      <c r="I940">
        <f>IF(MONTH(calls[[#This Row],[Date of Call]])&lt;=6, YEAR(calls[[#This Row],[Date of Call]]), YEAR(calls[[#This Row],[Date of Call]])+1)</f>
        <v>2026</v>
      </c>
      <c r="J940" t="str">
        <f>TEXT(calls[[#This Row],[Date of Call]],"DDDD")</f>
        <v>Monday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45985</v>
      </c>
      <c r="G941">
        <v>205</v>
      </c>
      <c r="H941">
        <v>4.3</v>
      </c>
      <c r="I941">
        <f>IF(MONTH(calls[[#This Row],[Date of Call]])&lt;=6, YEAR(calls[[#This Row],[Date of Call]]), YEAR(calls[[#This Row],[Date of Call]])+1)</f>
        <v>2026</v>
      </c>
      <c r="J941" t="str">
        <f>TEXT(calls[[#This Row],[Date of Call]],"DDDD")</f>
        <v>Monday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45985</v>
      </c>
      <c r="G942">
        <v>210</v>
      </c>
      <c r="H942">
        <v>4.8</v>
      </c>
      <c r="I942">
        <f>IF(MONTH(calls[[#This Row],[Date of Call]])&lt;=6, YEAR(calls[[#This Row],[Date of Call]]), YEAR(calls[[#This Row],[Date of Call]])+1)</f>
        <v>2026</v>
      </c>
      <c r="J942" t="str">
        <f>TEXT(calls[[#This Row],[Date of Call]],"DDDD")</f>
        <v>Monday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45987</v>
      </c>
      <c r="G943">
        <v>41</v>
      </c>
      <c r="H943">
        <v>4.7</v>
      </c>
      <c r="I943">
        <f>IF(MONTH(calls[[#This Row],[Date of Call]])&lt;=6, YEAR(calls[[#This Row],[Date of Call]]), YEAR(calls[[#This Row],[Date of Call]])+1)</f>
        <v>2026</v>
      </c>
      <c r="J943" t="str">
        <f>TEXT(calls[[#This Row],[Date of Call]],"DDDD")</f>
        <v>Wednesday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45987</v>
      </c>
      <c r="G944">
        <v>136</v>
      </c>
      <c r="H944">
        <v>5</v>
      </c>
      <c r="I944">
        <f>IF(MONTH(calls[[#This Row],[Date of Call]])&lt;=6, YEAR(calls[[#This Row],[Date of Call]]), YEAR(calls[[#This Row],[Date of Call]])+1)</f>
        <v>2026</v>
      </c>
      <c r="J944" t="str">
        <f>TEXT(calls[[#This Row],[Date of Call]],"DDDD")</f>
        <v>Wednesday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45988</v>
      </c>
      <c r="G945">
        <v>126</v>
      </c>
      <c r="H945">
        <v>1.5</v>
      </c>
      <c r="I945">
        <f>IF(MONTH(calls[[#This Row],[Date of Call]])&lt;=6, YEAR(calls[[#This Row],[Date of Call]]), YEAR(calls[[#This Row],[Date of Call]])+1)</f>
        <v>2026</v>
      </c>
      <c r="J945" t="str">
        <f>TEXT(calls[[#This Row],[Date of Call]],"DDDD")</f>
        <v>Thursday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45989</v>
      </c>
      <c r="G946">
        <v>148</v>
      </c>
      <c r="H946">
        <v>4.0999999999999996</v>
      </c>
      <c r="I946">
        <f>IF(MONTH(calls[[#This Row],[Date of Call]])&lt;=6, YEAR(calls[[#This Row],[Date of Call]]), YEAR(calls[[#This Row],[Date of Call]])+1)</f>
        <v>2026</v>
      </c>
      <c r="J946" t="str">
        <f>TEXT(calls[[#This Row],[Date of Call]],"DDDD")</f>
        <v>Friday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45989</v>
      </c>
      <c r="G947">
        <v>125</v>
      </c>
      <c r="H947">
        <v>3.9</v>
      </c>
      <c r="I947">
        <f>IF(MONTH(calls[[#This Row],[Date of Call]])&lt;=6, YEAR(calls[[#This Row],[Date of Call]]), YEAR(calls[[#This Row],[Date of Call]])+1)</f>
        <v>2026</v>
      </c>
      <c r="J947" t="str">
        <f>TEXT(calls[[#This Row],[Date of Call]],"DDDD")</f>
        <v>Friday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45989</v>
      </c>
      <c r="G948">
        <v>25</v>
      </c>
      <c r="H948">
        <v>4.0999999999999996</v>
      </c>
      <c r="I948">
        <f>IF(MONTH(calls[[#This Row],[Date of Call]])&lt;=6, YEAR(calls[[#This Row],[Date of Call]]), YEAR(calls[[#This Row],[Date of Call]])+1)</f>
        <v>2026</v>
      </c>
      <c r="J948" t="str">
        <f>TEXT(calls[[#This Row],[Date of Call]],"DDDD")</f>
        <v>Friday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45990</v>
      </c>
      <c r="G949">
        <v>62</v>
      </c>
      <c r="H949">
        <v>2.8</v>
      </c>
      <c r="I949">
        <f>IF(MONTH(calls[[#This Row],[Date of Call]])&lt;=6, YEAR(calls[[#This Row],[Date of Call]]), YEAR(calls[[#This Row],[Date of Call]])+1)</f>
        <v>2026</v>
      </c>
      <c r="J949" t="str">
        <f>TEXT(calls[[#This Row],[Date of Call]],"DDDD")</f>
        <v>Saturday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45991</v>
      </c>
      <c r="G950">
        <v>90</v>
      </c>
      <c r="H950">
        <v>4.5999999999999996</v>
      </c>
      <c r="I950">
        <f>IF(MONTH(calls[[#This Row],[Date of Call]])&lt;=6, YEAR(calls[[#This Row],[Date of Call]]), YEAR(calls[[#This Row],[Date of Call]])+1)</f>
        <v>2026</v>
      </c>
      <c r="J950" t="str">
        <f>TEXT(calls[[#This Row],[Date of Call]],"DDDD")</f>
        <v>Sunday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45992</v>
      </c>
      <c r="G951">
        <v>33</v>
      </c>
      <c r="H951">
        <v>4.8</v>
      </c>
      <c r="I951">
        <f>IF(MONTH(calls[[#This Row],[Date of Call]])&lt;=6, YEAR(calls[[#This Row],[Date of Call]]), YEAR(calls[[#This Row],[Date of Call]])+1)</f>
        <v>2026</v>
      </c>
      <c r="J951" t="str">
        <f>TEXT(calls[[#This Row],[Date of Call]],"DDDD")</f>
        <v>Monday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45992</v>
      </c>
      <c r="G952">
        <v>115</v>
      </c>
      <c r="H952">
        <v>2.2999999999999998</v>
      </c>
      <c r="I952">
        <f>IF(MONTH(calls[[#This Row],[Date of Call]])&lt;=6, YEAR(calls[[#This Row],[Date of Call]]), YEAR(calls[[#This Row],[Date of Call]])+1)</f>
        <v>2026</v>
      </c>
      <c r="J952" t="str">
        <f>TEXT(calls[[#This Row],[Date of Call]],"DDDD")</f>
        <v>Monday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45992</v>
      </c>
      <c r="G953">
        <v>45</v>
      </c>
      <c r="H953">
        <v>2.6</v>
      </c>
      <c r="I953">
        <f>IF(MONTH(calls[[#This Row],[Date of Call]])&lt;=6, YEAR(calls[[#This Row],[Date of Call]]), YEAR(calls[[#This Row],[Date of Call]])+1)</f>
        <v>2026</v>
      </c>
      <c r="J953" t="str">
        <f>TEXT(calls[[#This Row],[Date of Call]],"DDDD")</f>
        <v>Monday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45992</v>
      </c>
      <c r="G954">
        <v>114</v>
      </c>
      <c r="H954">
        <v>4.8</v>
      </c>
      <c r="I954">
        <f>IF(MONTH(calls[[#This Row],[Date of Call]])&lt;=6, YEAR(calls[[#This Row],[Date of Call]]), YEAR(calls[[#This Row],[Date of Call]])+1)</f>
        <v>2026</v>
      </c>
      <c r="J954" t="str">
        <f>TEXT(calls[[#This Row],[Date of Call]],"DDDD")</f>
        <v>Monday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45993</v>
      </c>
      <c r="G955">
        <v>72</v>
      </c>
      <c r="H955">
        <v>3.7</v>
      </c>
      <c r="I955">
        <f>IF(MONTH(calls[[#This Row],[Date of Call]])&lt;=6, YEAR(calls[[#This Row],[Date of Call]]), YEAR(calls[[#This Row],[Date of Call]])+1)</f>
        <v>2026</v>
      </c>
      <c r="J955" t="str">
        <f>TEXT(calls[[#This Row],[Date of Call]],"DDDD")</f>
        <v>Tuesday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45993</v>
      </c>
      <c r="G956">
        <v>205</v>
      </c>
      <c r="H956">
        <v>4.2</v>
      </c>
      <c r="I956">
        <f>IF(MONTH(calls[[#This Row],[Date of Call]])&lt;=6, YEAR(calls[[#This Row],[Date of Call]]), YEAR(calls[[#This Row],[Date of Call]])+1)</f>
        <v>2026</v>
      </c>
      <c r="J956" t="str">
        <f>TEXT(calls[[#This Row],[Date of Call]],"DDDD")</f>
        <v>Tuesday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45994</v>
      </c>
      <c r="G957">
        <v>42</v>
      </c>
      <c r="H957">
        <v>3.3</v>
      </c>
      <c r="I957">
        <f>IF(MONTH(calls[[#This Row],[Date of Call]])&lt;=6, YEAR(calls[[#This Row],[Date of Call]]), YEAR(calls[[#This Row],[Date of Call]])+1)</f>
        <v>2026</v>
      </c>
      <c r="J957" t="str">
        <f>TEXT(calls[[#This Row],[Date of Call]],"DDDD")</f>
        <v>Wednesday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45994</v>
      </c>
      <c r="G958">
        <v>96</v>
      </c>
      <c r="H958">
        <v>4.3</v>
      </c>
      <c r="I958">
        <f>IF(MONTH(calls[[#This Row],[Date of Call]])&lt;=6, YEAR(calls[[#This Row],[Date of Call]]), YEAR(calls[[#This Row],[Date of Call]])+1)</f>
        <v>2026</v>
      </c>
      <c r="J958" t="str">
        <f>TEXT(calls[[#This Row],[Date of Call]],"DDDD")</f>
        <v>Wednesday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45994</v>
      </c>
      <c r="G959">
        <v>64</v>
      </c>
      <c r="H959">
        <v>3.7</v>
      </c>
      <c r="I959">
        <f>IF(MONTH(calls[[#This Row],[Date of Call]])&lt;=6, YEAR(calls[[#This Row],[Date of Call]]), YEAR(calls[[#This Row],[Date of Call]])+1)</f>
        <v>2026</v>
      </c>
      <c r="J959" t="str">
        <f>TEXT(calls[[#This Row],[Date of Call]],"DDDD")</f>
        <v>Wednesday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45995</v>
      </c>
      <c r="G960">
        <v>72</v>
      </c>
      <c r="H960">
        <v>3.7</v>
      </c>
      <c r="I960">
        <f>IF(MONTH(calls[[#This Row],[Date of Call]])&lt;=6, YEAR(calls[[#This Row],[Date of Call]]), YEAR(calls[[#This Row],[Date of Call]])+1)</f>
        <v>2026</v>
      </c>
      <c r="J960" t="str">
        <f>TEXT(calls[[#This Row],[Date of Call]],"DDDD")</f>
        <v>Thursday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45996</v>
      </c>
      <c r="G961">
        <v>27</v>
      </c>
      <c r="H961">
        <v>3.1</v>
      </c>
      <c r="I961">
        <f>IF(MONTH(calls[[#This Row],[Date of Call]])&lt;=6, YEAR(calls[[#This Row],[Date of Call]]), YEAR(calls[[#This Row],[Date of Call]])+1)</f>
        <v>2026</v>
      </c>
      <c r="J961" t="str">
        <f>TEXT(calls[[#This Row],[Date of Call]],"DDDD")</f>
        <v>Friday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45998</v>
      </c>
      <c r="G962">
        <v>200</v>
      </c>
      <c r="H962">
        <v>2.4</v>
      </c>
      <c r="I962">
        <f>IF(MONTH(calls[[#This Row],[Date of Call]])&lt;=6, YEAR(calls[[#This Row],[Date of Call]]), YEAR(calls[[#This Row],[Date of Call]])+1)</f>
        <v>2026</v>
      </c>
      <c r="J962" t="str">
        <f>TEXT(calls[[#This Row],[Date of Call]],"DDDD")</f>
        <v>Sunday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45999</v>
      </c>
      <c r="G963">
        <v>93</v>
      </c>
      <c r="H963">
        <v>3.5</v>
      </c>
      <c r="I963">
        <f>IF(MONTH(calls[[#This Row],[Date of Call]])&lt;=6, YEAR(calls[[#This Row],[Date of Call]]), YEAR(calls[[#This Row],[Date of Call]])+1)</f>
        <v>2026</v>
      </c>
      <c r="J963" t="str">
        <f>TEXT(calls[[#This Row],[Date of Call]],"DDDD")</f>
        <v>Monday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45999</v>
      </c>
      <c r="G964">
        <v>54</v>
      </c>
      <c r="H964">
        <v>4.3</v>
      </c>
      <c r="I964">
        <f>IF(MONTH(calls[[#This Row],[Date of Call]])&lt;=6, YEAR(calls[[#This Row],[Date of Call]]), YEAR(calls[[#This Row],[Date of Call]])+1)</f>
        <v>2026</v>
      </c>
      <c r="J964" t="str">
        <f>TEXT(calls[[#This Row],[Date of Call]],"DDDD")</f>
        <v>Monday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46000</v>
      </c>
      <c r="G965">
        <v>72</v>
      </c>
      <c r="H965">
        <v>3.4</v>
      </c>
      <c r="I965">
        <f>IF(MONTH(calls[[#This Row],[Date of Call]])&lt;=6, YEAR(calls[[#This Row],[Date of Call]]), YEAR(calls[[#This Row],[Date of Call]])+1)</f>
        <v>2026</v>
      </c>
      <c r="J965" t="str">
        <f>TEXT(calls[[#This Row],[Date of Call]],"DDDD")</f>
        <v>Tuesday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46000</v>
      </c>
      <c r="G966">
        <v>82</v>
      </c>
      <c r="H966">
        <v>3.7</v>
      </c>
      <c r="I966">
        <f>IF(MONTH(calls[[#This Row],[Date of Call]])&lt;=6, YEAR(calls[[#This Row],[Date of Call]]), YEAR(calls[[#This Row],[Date of Call]])+1)</f>
        <v>2026</v>
      </c>
      <c r="J966" t="str">
        <f>TEXT(calls[[#This Row],[Date of Call]],"DDDD")</f>
        <v>Tuesday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46004</v>
      </c>
      <c r="G967">
        <v>164</v>
      </c>
      <c r="H967">
        <v>4.8</v>
      </c>
      <c r="I967">
        <f>IF(MONTH(calls[[#This Row],[Date of Call]])&lt;=6, YEAR(calls[[#This Row],[Date of Call]]), YEAR(calls[[#This Row],[Date of Call]])+1)</f>
        <v>2026</v>
      </c>
      <c r="J967" t="str">
        <f>TEXT(calls[[#This Row],[Date of Call]],"DDDD")</f>
        <v>Saturday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46004</v>
      </c>
      <c r="G968">
        <v>78</v>
      </c>
      <c r="H968">
        <v>3.3</v>
      </c>
      <c r="I968">
        <f>IF(MONTH(calls[[#This Row],[Date of Call]])&lt;=6, YEAR(calls[[#This Row],[Date of Call]]), YEAR(calls[[#This Row],[Date of Call]])+1)</f>
        <v>2026</v>
      </c>
      <c r="J968" t="str">
        <f>TEXT(calls[[#This Row],[Date of Call]],"DDDD")</f>
        <v>Saturday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46005</v>
      </c>
      <c r="G969">
        <v>135</v>
      </c>
      <c r="H969">
        <v>4.2</v>
      </c>
      <c r="I969">
        <f>IF(MONTH(calls[[#This Row],[Date of Call]])&lt;=6, YEAR(calls[[#This Row],[Date of Call]]), YEAR(calls[[#This Row],[Date of Call]])+1)</f>
        <v>2026</v>
      </c>
      <c r="J969" t="str">
        <f>TEXT(calls[[#This Row],[Date of Call]],"DDDD")</f>
        <v>Sunday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46006</v>
      </c>
      <c r="G970">
        <v>145</v>
      </c>
      <c r="H970">
        <v>2.6</v>
      </c>
      <c r="I970">
        <f>IF(MONTH(calls[[#This Row],[Date of Call]])&lt;=6, YEAR(calls[[#This Row],[Date of Call]]), YEAR(calls[[#This Row],[Date of Call]])+1)</f>
        <v>2026</v>
      </c>
      <c r="J970" t="str">
        <f>TEXT(calls[[#This Row],[Date of Call]],"DDDD")</f>
        <v>Monday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46006</v>
      </c>
      <c r="G971">
        <v>115</v>
      </c>
      <c r="H971">
        <v>4.9000000000000004</v>
      </c>
      <c r="I971">
        <f>IF(MONTH(calls[[#This Row],[Date of Call]])&lt;=6, YEAR(calls[[#This Row],[Date of Call]]), YEAR(calls[[#This Row],[Date of Call]])+1)</f>
        <v>2026</v>
      </c>
      <c r="J971" t="str">
        <f>TEXT(calls[[#This Row],[Date of Call]],"DDDD")</f>
        <v>Monday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46006</v>
      </c>
      <c r="G972">
        <v>117</v>
      </c>
      <c r="H972">
        <v>2</v>
      </c>
      <c r="I972">
        <f>IF(MONTH(calls[[#This Row],[Date of Call]])&lt;=6, YEAR(calls[[#This Row],[Date of Call]]), YEAR(calls[[#This Row],[Date of Call]])+1)</f>
        <v>2026</v>
      </c>
      <c r="J972" t="str">
        <f>TEXT(calls[[#This Row],[Date of Call]],"DDDD")</f>
        <v>Monday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46007</v>
      </c>
      <c r="G973">
        <v>36</v>
      </c>
      <c r="H973">
        <v>4.7</v>
      </c>
      <c r="I973">
        <f>IF(MONTH(calls[[#This Row],[Date of Call]])&lt;=6, YEAR(calls[[#This Row],[Date of Call]]), YEAR(calls[[#This Row],[Date of Call]])+1)</f>
        <v>2026</v>
      </c>
      <c r="J973" t="str">
        <f>TEXT(calls[[#This Row],[Date of Call]],"DDDD")</f>
        <v>Tuesday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46007</v>
      </c>
      <c r="G974">
        <v>84</v>
      </c>
      <c r="H974">
        <v>2.8</v>
      </c>
      <c r="I974">
        <f>IF(MONTH(calls[[#This Row],[Date of Call]])&lt;=6, YEAR(calls[[#This Row],[Date of Call]]), YEAR(calls[[#This Row],[Date of Call]])+1)</f>
        <v>2026</v>
      </c>
      <c r="J974" t="str">
        <f>TEXT(calls[[#This Row],[Date of Call]],"DDDD")</f>
        <v>Tuesday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46007</v>
      </c>
      <c r="G975">
        <v>66</v>
      </c>
      <c r="H975">
        <v>3.2</v>
      </c>
      <c r="I975">
        <f>IF(MONTH(calls[[#This Row],[Date of Call]])&lt;=6, YEAR(calls[[#This Row],[Date of Call]]), YEAR(calls[[#This Row],[Date of Call]])+1)</f>
        <v>2026</v>
      </c>
      <c r="J975" t="str">
        <f>TEXT(calls[[#This Row],[Date of Call]],"DDDD")</f>
        <v>Tuesday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46007</v>
      </c>
      <c r="G976">
        <v>76</v>
      </c>
      <c r="H976">
        <v>4.7</v>
      </c>
      <c r="I976">
        <f>IF(MONTH(calls[[#This Row],[Date of Call]])&lt;=6, YEAR(calls[[#This Row],[Date of Call]]), YEAR(calls[[#This Row],[Date of Call]])+1)</f>
        <v>2026</v>
      </c>
      <c r="J976" t="str">
        <f>TEXT(calls[[#This Row],[Date of Call]],"DDDD")</f>
        <v>Tuesday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46007</v>
      </c>
      <c r="G977">
        <v>185</v>
      </c>
      <c r="H977">
        <v>4.8</v>
      </c>
      <c r="I977">
        <f>IF(MONTH(calls[[#This Row],[Date of Call]])&lt;=6, YEAR(calls[[#This Row],[Date of Call]]), YEAR(calls[[#This Row],[Date of Call]])+1)</f>
        <v>2026</v>
      </c>
      <c r="J977" t="str">
        <f>TEXT(calls[[#This Row],[Date of Call]],"DDDD")</f>
        <v>Tuesday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46008</v>
      </c>
      <c r="G978">
        <v>80</v>
      </c>
      <c r="H978">
        <v>4.7</v>
      </c>
      <c r="I978">
        <f>IF(MONTH(calls[[#This Row],[Date of Call]])&lt;=6, YEAR(calls[[#This Row],[Date of Call]]), YEAR(calls[[#This Row],[Date of Call]])+1)</f>
        <v>2026</v>
      </c>
      <c r="J978" t="str">
        <f>TEXT(calls[[#This Row],[Date of Call]],"DDDD")</f>
        <v>Wednesday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46008</v>
      </c>
      <c r="G979">
        <v>148</v>
      </c>
      <c r="H979">
        <v>4</v>
      </c>
      <c r="I979">
        <f>IF(MONTH(calls[[#This Row],[Date of Call]])&lt;=6, YEAR(calls[[#This Row],[Date of Call]]), YEAR(calls[[#This Row],[Date of Call]])+1)</f>
        <v>2026</v>
      </c>
      <c r="J979" t="str">
        <f>TEXT(calls[[#This Row],[Date of Call]],"DDDD")</f>
        <v>Wednesday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46010</v>
      </c>
      <c r="G980">
        <v>180</v>
      </c>
      <c r="H980">
        <v>4.9000000000000004</v>
      </c>
      <c r="I980">
        <f>IF(MONTH(calls[[#This Row],[Date of Call]])&lt;=6, YEAR(calls[[#This Row],[Date of Call]]), YEAR(calls[[#This Row],[Date of Call]])+1)</f>
        <v>2026</v>
      </c>
      <c r="J980" t="str">
        <f>TEXT(calls[[#This Row],[Date of Call]],"DDDD")</f>
        <v>Friday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46011</v>
      </c>
      <c r="G981">
        <v>190</v>
      </c>
      <c r="H981">
        <v>3.7</v>
      </c>
      <c r="I981">
        <f>IF(MONTH(calls[[#This Row],[Date of Call]])&lt;=6, YEAR(calls[[#This Row],[Date of Call]]), YEAR(calls[[#This Row],[Date of Call]])+1)</f>
        <v>2026</v>
      </c>
      <c r="J981" t="str">
        <f>TEXT(calls[[#This Row],[Date of Call]],"DDDD")</f>
        <v>Saturday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46011</v>
      </c>
      <c r="G982">
        <v>38</v>
      </c>
      <c r="H982">
        <v>4.5</v>
      </c>
      <c r="I982">
        <f>IF(MONTH(calls[[#This Row],[Date of Call]])&lt;=6, YEAR(calls[[#This Row],[Date of Call]]), YEAR(calls[[#This Row],[Date of Call]])+1)</f>
        <v>2026</v>
      </c>
      <c r="J982" t="str">
        <f>TEXT(calls[[#This Row],[Date of Call]],"DDDD")</f>
        <v>Saturday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46012</v>
      </c>
      <c r="G983">
        <v>82</v>
      </c>
      <c r="H983">
        <v>2.1</v>
      </c>
      <c r="I983">
        <f>IF(MONTH(calls[[#This Row],[Date of Call]])&lt;=6, YEAR(calls[[#This Row],[Date of Call]]), YEAR(calls[[#This Row],[Date of Call]])+1)</f>
        <v>2026</v>
      </c>
      <c r="J983" t="str">
        <f>TEXT(calls[[#This Row],[Date of Call]],"DDDD")</f>
        <v>Sunday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46015</v>
      </c>
      <c r="G984">
        <v>88</v>
      </c>
      <c r="H984">
        <v>2.8</v>
      </c>
      <c r="I984">
        <f>IF(MONTH(calls[[#This Row],[Date of Call]])&lt;=6, YEAR(calls[[#This Row],[Date of Call]]), YEAR(calls[[#This Row],[Date of Call]])+1)</f>
        <v>2026</v>
      </c>
      <c r="J984" t="str">
        <f>TEXT(calls[[#This Row],[Date of Call]],"DDDD")</f>
        <v>Wednesday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46015</v>
      </c>
      <c r="G985">
        <v>42</v>
      </c>
      <c r="H985">
        <v>4.0999999999999996</v>
      </c>
      <c r="I985">
        <f>IF(MONTH(calls[[#This Row],[Date of Call]])&lt;=6, YEAR(calls[[#This Row],[Date of Call]]), YEAR(calls[[#This Row],[Date of Call]])+1)</f>
        <v>2026</v>
      </c>
      <c r="J985" t="str">
        <f>TEXT(calls[[#This Row],[Date of Call]],"DDDD")</f>
        <v>Wednesday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46016</v>
      </c>
      <c r="G986">
        <v>64</v>
      </c>
      <c r="H986">
        <v>3.3</v>
      </c>
      <c r="I986">
        <f>IF(MONTH(calls[[#This Row],[Date of Call]])&lt;=6, YEAR(calls[[#This Row],[Date of Call]]), YEAR(calls[[#This Row],[Date of Call]])+1)</f>
        <v>2026</v>
      </c>
      <c r="J986" t="str">
        <f>TEXT(calls[[#This Row],[Date of Call]],"DDDD")</f>
        <v>Thursday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46016</v>
      </c>
      <c r="G987">
        <v>105</v>
      </c>
      <c r="H987">
        <v>1.7</v>
      </c>
      <c r="I987">
        <f>IF(MONTH(calls[[#This Row],[Date of Call]])&lt;=6, YEAR(calls[[#This Row],[Date of Call]]), YEAR(calls[[#This Row],[Date of Call]])+1)</f>
        <v>2026</v>
      </c>
      <c r="J987" t="str">
        <f>TEXT(calls[[#This Row],[Date of Call]],"DDDD")</f>
        <v>Thursday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46016</v>
      </c>
      <c r="G988">
        <v>25</v>
      </c>
      <c r="H988">
        <v>3.6</v>
      </c>
      <c r="I988">
        <f>IF(MONTH(calls[[#This Row],[Date of Call]])&lt;=6, YEAR(calls[[#This Row],[Date of Call]]), YEAR(calls[[#This Row],[Date of Call]])+1)</f>
        <v>2026</v>
      </c>
      <c r="J988" t="str">
        <f>TEXT(calls[[#This Row],[Date of Call]],"DDDD")</f>
        <v>Thursday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46017</v>
      </c>
      <c r="G989">
        <v>176</v>
      </c>
      <c r="H989">
        <v>3.6</v>
      </c>
      <c r="I989">
        <f>IF(MONTH(calls[[#This Row],[Date of Call]])&lt;=6, YEAR(calls[[#This Row],[Date of Call]]), YEAR(calls[[#This Row],[Date of Call]])+1)</f>
        <v>2026</v>
      </c>
      <c r="J989" t="str">
        <f>TEXT(calls[[#This Row],[Date of Call]],"DDDD")</f>
        <v>Friday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46018</v>
      </c>
      <c r="G990">
        <v>46</v>
      </c>
      <c r="H990">
        <v>4.5999999999999996</v>
      </c>
      <c r="I990">
        <f>IF(MONTH(calls[[#This Row],[Date of Call]])&lt;=6, YEAR(calls[[#This Row],[Date of Call]]), YEAR(calls[[#This Row],[Date of Call]])+1)</f>
        <v>2026</v>
      </c>
      <c r="J990" t="str">
        <f>TEXT(calls[[#This Row],[Date of Call]],"DDDD")</f>
        <v>Saturday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46018</v>
      </c>
      <c r="G991">
        <v>164</v>
      </c>
      <c r="H991">
        <v>4.8</v>
      </c>
      <c r="I991">
        <f>IF(MONTH(calls[[#This Row],[Date of Call]])&lt;=6, YEAR(calls[[#This Row],[Date of Call]]), YEAR(calls[[#This Row],[Date of Call]])+1)</f>
        <v>2026</v>
      </c>
      <c r="J991" t="str">
        <f>TEXT(calls[[#This Row],[Date of Call]],"DDDD")</f>
        <v>Saturday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46019</v>
      </c>
      <c r="G992">
        <v>64</v>
      </c>
      <c r="H992">
        <v>4.5</v>
      </c>
      <c r="I992">
        <f>IF(MONTH(calls[[#This Row],[Date of Call]])&lt;=6, YEAR(calls[[#This Row],[Date of Call]]), YEAR(calls[[#This Row],[Date of Call]])+1)</f>
        <v>2026</v>
      </c>
      <c r="J992" t="str">
        <f>TEXT(calls[[#This Row],[Date of Call]],"DDDD")</f>
        <v>Sunday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46019</v>
      </c>
      <c r="G993">
        <v>205</v>
      </c>
      <c r="H993">
        <v>4.5</v>
      </c>
      <c r="I993">
        <f>IF(MONTH(calls[[#This Row],[Date of Call]])&lt;=6, YEAR(calls[[#This Row],[Date of Call]]), YEAR(calls[[#This Row],[Date of Call]])+1)</f>
        <v>2026</v>
      </c>
      <c r="J993" t="str">
        <f>TEXT(calls[[#This Row],[Date of Call]],"DDDD")</f>
        <v>Sunday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46020</v>
      </c>
      <c r="G994">
        <v>100</v>
      </c>
      <c r="H994">
        <v>4.5999999999999996</v>
      </c>
      <c r="I994">
        <f>IF(MONTH(calls[[#This Row],[Date of Call]])&lt;=6, YEAR(calls[[#This Row],[Date of Call]]), YEAR(calls[[#This Row],[Date of Call]])+1)</f>
        <v>2026</v>
      </c>
      <c r="J994" t="str">
        <f>TEXT(calls[[#This Row],[Date of Call]],"DDDD")</f>
        <v>Monday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46020</v>
      </c>
      <c r="G995">
        <v>111</v>
      </c>
      <c r="H995">
        <v>4.5999999999999996</v>
      </c>
      <c r="I995">
        <f>IF(MONTH(calls[[#This Row],[Date of Call]])&lt;=6, YEAR(calls[[#This Row],[Date of Call]]), YEAR(calls[[#This Row],[Date of Call]])+1)</f>
        <v>2026</v>
      </c>
      <c r="J995" t="str">
        <f>TEXT(calls[[#This Row],[Date of Call]],"DDDD")</f>
        <v>Monday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46020</v>
      </c>
      <c r="G996">
        <v>80</v>
      </c>
      <c r="H996">
        <v>3.5</v>
      </c>
      <c r="I996">
        <f>IF(MONTH(calls[[#This Row],[Date of Call]])&lt;=6, YEAR(calls[[#This Row],[Date of Call]]), YEAR(calls[[#This Row],[Date of Call]])+1)</f>
        <v>2026</v>
      </c>
      <c r="J996" t="str">
        <f>TEXT(calls[[#This Row],[Date of Call]],"DDDD")</f>
        <v>Monday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46020</v>
      </c>
      <c r="G997">
        <v>50</v>
      </c>
      <c r="H997">
        <v>2.9</v>
      </c>
      <c r="I997">
        <f>IF(MONTH(calls[[#This Row],[Date of Call]])&lt;=6, YEAR(calls[[#This Row],[Date of Call]]), YEAR(calls[[#This Row],[Date of Call]])+1)</f>
        <v>2026</v>
      </c>
      <c r="J997" t="str">
        <f>TEXT(calls[[#This Row],[Date of Call]],"DDDD")</f>
        <v>Monday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46021</v>
      </c>
      <c r="G998">
        <v>165</v>
      </c>
      <c r="H998">
        <v>4.7</v>
      </c>
      <c r="I998">
        <f>IF(MONTH(calls[[#This Row],[Date of Call]])&lt;=6, YEAR(calls[[#This Row],[Date of Call]]), YEAR(calls[[#This Row],[Date of Call]])+1)</f>
        <v>2026</v>
      </c>
      <c r="J998" t="str">
        <f>TEXT(calls[[#This Row],[Date of Call]],"DDDD")</f>
        <v>Tuesday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46021</v>
      </c>
      <c r="G999">
        <v>28</v>
      </c>
      <c r="H999">
        <v>3.9</v>
      </c>
      <c r="I999">
        <f>IF(MONTH(calls[[#This Row],[Date of Call]])&lt;=6, YEAR(calls[[#This Row],[Date of Call]]), YEAR(calls[[#This Row],[Date of Call]])+1)</f>
        <v>2026</v>
      </c>
      <c r="J999" t="str">
        <f>TEXT(calls[[#This Row],[Date of Call]],"DDDD")</f>
        <v>Tuesday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46021</v>
      </c>
      <c r="G1000">
        <v>215</v>
      </c>
      <c r="H1000">
        <v>3.8</v>
      </c>
      <c r="I1000">
        <f>IF(MONTH(calls[[#This Row],[Date of Call]])&lt;=6, YEAR(calls[[#This Row],[Date of Call]]), YEAR(calls[[#This Row],[Date of Call]])+1)</f>
        <v>2026</v>
      </c>
      <c r="J1000" t="str">
        <f>TEXT(calls[[#This Row],[Date of Call]],"DDDD")</f>
        <v>Tuesday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46022</v>
      </c>
      <c r="G1001">
        <v>115</v>
      </c>
      <c r="H1001">
        <v>2.2999999999999998</v>
      </c>
      <c r="I1001">
        <f>IF(MONTH(calls[[#This Row],[Date of Call]])&lt;=6, YEAR(calls[[#This Row],[Date of Call]]), YEAR(calls[[#This Row],[Date of Call]])+1)</f>
        <v>2026</v>
      </c>
      <c r="J1001" t="str">
        <f>TEXT(calls[[#This Row],[Date of Call]],"DDDD")</f>
        <v>Wednesday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46022</v>
      </c>
      <c r="G1002">
        <v>64</v>
      </c>
      <c r="H1002">
        <v>3.7</v>
      </c>
      <c r="I1002">
        <f>IF(MONTH(calls[[#This Row],[Date of Call]])&lt;=6, YEAR(calls[[#This Row],[Date of Call]]), YEAR(calls[[#This Row],[Date of Call]])+1)</f>
        <v>2026</v>
      </c>
      <c r="J1002" t="str">
        <f>TEXT(calls[[#This Row],[Date of Call]],"DDDD")</f>
        <v>Wednesday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46022</v>
      </c>
      <c r="G1003">
        <v>40</v>
      </c>
      <c r="H1003">
        <v>3.9</v>
      </c>
      <c r="I1003">
        <f>IF(MONTH(calls[[#This Row],[Date of Call]])&lt;=6, YEAR(calls[[#This Row],[Date of Call]]), YEAR(calls[[#This Row],[Date of Call]])+1)</f>
        <v>2026</v>
      </c>
      <c r="J1003" t="str">
        <f>TEXT(calls[[#This Row],[Date of Call]],"DDDD")</f>
        <v>Wednesday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9F4F3-30FE-486C-9AC2-A1FABC212F09}">
  <dimension ref="A1:X39"/>
  <sheetViews>
    <sheetView tabSelected="1" topLeftCell="B1" zoomScaleNormal="100" workbookViewId="0">
      <selection activeCell="J34" sqref="J34"/>
    </sheetView>
  </sheetViews>
  <sheetFormatPr defaultRowHeight="13.8" x14ac:dyDescent="0.25"/>
  <cols>
    <col min="1" max="2" width="2.3984375" customWidth="1"/>
    <col min="5" max="5" width="2.69921875" customWidth="1"/>
    <col min="13" max="13" width="8.5" bestFit="1" customWidth="1"/>
    <col min="21" max="21" width="11" customWidth="1"/>
  </cols>
  <sheetData>
    <row r="1" spans="1:24" ht="38.4" customHeight="1" x14ac:dyDescent="0.25">
      <c r="A1" s="20"/>
      <c r="B1" s="20"/>
      <c r="C1" s="20"/>
      <c r="D1" s="20"/>
      <c r="E1" s="20"/>
      <c r="F1" s="20"/>
      <c r="G1" s="20"/>
      <c r="H1" s="20"/>
      <c r="I1" s="20"/>
      <c r="J1" s="20"/>
      <c r="K1" s="20"/>
      <c r="L1" s="20"/>
      <c r="M1" s="20"/>
      <c r="N1" s="20"/>
      <c r="O1" s="20"/>
      <c r="P1" s="20"/>
      <c r="Q1" s="20"/>
      <c r="R1" s="20"/>
      <c r="S1" s="20"/>
      <c r="T1" s="20"/>
      <c r="U1" s="20"/>
      <c r="V1" s="20"/>
      <c r="W1" s="20"/>
      <c r="X1" s="20"/>
    </row>
    <row r="2" spans="1:24" ht="2.4" customHeight="1" x14ac:dyDescent="0.25">
      <c r="A2" s="20"/>
      <c r="B2" s="20"/>
      <c r="C2" s="20"/>
      <c r="D2" s="20"/>
      <c r="E2" s="20"/>
      <c r="F2" s="20"/>
      <c r="G2" s="20"/>
      <c r="H2" s="20"/>
      <c r="I2" s="20"/>
      <c r="J2" s="20"/>
      <c r="K2" s="20"/>
      <c r="L2" s="20"/>
      <c r="M2" s="20"/>
      <c r="N2" s="20"/>
      <c r="O2" s="20"/>
      <c r="P2" s="20"/>
      <c r="Q2" s="20"/>
      <c r="R2" s="20"/>
      <c r="S2" s="20"/>
      <c r="T2" s="20"/>
      <c r="U2" s="20"/>
      <c r="V2" s="20"/>
      <c r="W2" s="20"/>
      <c r="X2" s="20"/>
    </row>
    <row r="3" spans="1:24" ht="3" hidden="1" customHeight="1" x14ac:dyDescent="0.25">
      <c r="A3" s="20"/>
      <c r="B3" s="20"/>
      <c r="C3" s="20"/>
      <c r="D3" s="20"/>
      <c r="E3" s="20"/>
      <c r="F3" s="20"/>
      <c r="G3" s="20"/>
      <c r="H3" s="20"/>
      <c r="I3" s="20"/>
      <c r="J3" s="20"/>
      <c r="K3" s="20"/>
      <c r="L3" s="20"/>
      <c r="M3" s="20"/>
      <c r="N3" s="20"/>
      <c r="O3" s="20"/>
      <c r="P3" s="20"/>
      <c r="Q3" s="20"/>
      <c r="R3" s="20"/>
      <c r="S3" s="20"/>
      <c r="T3" s="20"/>
      <c r="U3" s="20"/>
      <c r="V3" s="20"/>
      <c r="W3" s="20"/>
      <c r="X3" s="20"/>
    </row>
    <row r="4" spans="1:24" x14ac:dyDescent="0.25">
      <c r="A4" s="20"/>
      <c r="B4" s="20"/>
      <c r="C4" s="20"/>
      <c r="D4" s="20"/>
      <c r="E4" s="20"/>
      <c r="F4" s="20"/>
      <c r="G4" s="20"/>
      <c r="H4" s="20"/>
      <c r="I4" s="20"/>
      <c r="J4" s="20"/>
      <c r="K4" s="20"/>
      <c r="L4" s="20"/>
      <c r="M4" s="20"/>
      <c r="N4" s="20"/>
      <c r="O4" s="20"/>
      <c r="P4" s="20"/>
      <c r="Q4" s="20"/>
      <c r="R4" s="20"/>
      <c r="S4" s="20"/>
      <c r="T4" s="20"/>
      <c r="U4" s="20"/>
      <c r="V4" s="20"/>
      <c r="W4" s="20"/>
      <c r="X4" s="20"/>
    </row>
    <row r="5" spans="1:24" x14ac:dyDescent="0.25">
      <c r="A5" s="20"/>
      <c r="B5" s="20"/>
      <c r="C5" s="20"/>
      <c r="D5" s="20"/>
      <c r="E5" s="20"/>
      <c r="F5" s="20"/>
      <c r="G5" s="20"/>
      <c r="H5" s="20"/>
      <c r="I5" s="20"/>
      <c r="J5" s="20"/>
      <c r="K5" s="20"/>
      <c r="L5" s="20"/>
      <c r="M5" s="20"/>
      <c r="N5" s="20"/>
      <c r="O5" s="20"/>
      <c r="P5" s="20"/>
      <c r="Q5" s="20"/>
      <c r="R5" s="20"/>
      <c r="S5" s="20"/>
      <c r="T5" s="20"/>
      <c r="U5" s="20"/>
      <c r="V5" s="20"/>
      <c r="W5" s="20"/>
      <c r="X5" s="20"/>
    </row>
    <row r="6" spans="1:24" x14ac:dyDescent="0.25">
      <c r="A6" s="20"/>
      <c r="B6" s="20"/>
      <c r="C6" s="20"/>
      <c r="D6" s="20"/>
      <c r="E6" s="20"/>
      <c r="F6" s="20"/>
      <c r="G6" s="20"/>
      <c r="H6" s="20"/>
      <c r="I6" s="20"/>
      <c r="J6" s="20"/>
      <c r="K6" s="20"/>
      <c r="L6" s="20"/>
      <c r="M6" s="20"/>
      <c r="N6" s="20"/>
      <c r="O6" s="20"/>
      <c r="P6" s="20"/>
      <c r="Q6" s="20"/>
      <c r="R6" s="20"/>
      <c r="S6" s="20"/>
      <c r="T6" s="20"/>
      <c r="U6" s="20"/>
      <c r="V6" s="20"/>
      <c r="W6" s="20"/>
      <c r="X6" s="20"/>
    </row>
    <row r="7" spans="1:24" x14ac:dyDescent="0.25">
      <c r="A7" s="20"/>
      <c r="B7" s="20"/>
      <c r="C7" s="20"/>
      <c r="D7" s="20"/>
      <c r="E7" s="20"/>
      <c r="F7" s="20"/>
      <c r="G7" s="20"/>
      <c r="H7" s="20"/>
      <c r="I7" s="20"/>
      <c r="J7" s="20"/>
      <c r="K7" s="20"/>
      <c r="L7" s="20"/>
      <c r="M7" s="20"/>
      <c r="N7" s="20"/>
      <c r="O7" s="20"/>
      <c r="P7" s="20"/>
      <c r="Q7" s="20"/>
      <c r="R7" s="20"/>
      <c r="S7" s="20"/>
      <c r="T7" s="20"/>
      <c r="U7" s="20"/>
      <c r="V7" s="20"/>
      <c r="W7" s="20"/>
      <c r="X7" s="20"/>
    </row>
    <row r="8" spans="1:24" x14ac:dyDescent="0.25">
      <c r="A8" s="20"/>
      <c r="B8" s="20"/>
      <c r="C8" s="20"/>
      <c r="D8" s="20"/>
      <c r="E8" s="20"/>
      <c r="F8" s="20"/>
      <c r="G8" s="20"/>
      <c r="H8" s="20"/>
      <c r="I8" s="20"/>
      <c r="J8" s="20"/>
      <c r="K8" s="20"/>
      <c r="L8" s="20"/>
      <c r="M8" s="20"/>
      <c r="N8" s="20"/>
      <c r="O8" s="20"/>
      <c r="P8" s="20"/>
      <c r="Q8" s="20"/>
      <c r="R8" s="20"/>
      <c r="S8" s="20"/>
      <c r="T8" s="20"/>
      <c r="U8" s="20"/>
      <c r="V8" s="20"/>
      <c r="W8" s="20"/>
      <c r="X8" s="20"/>
    </row>
    <row r="9" spans="1:24" x14ac:dyDescent="0.25">
      <c r="A9" s="20"/>
      <c r="B9" s="20"/>
      <c r="C9" s="20"/>
      <c r="D9" s="20"/>
      <c r="E9" s="20"/>
      <c r="F9" s="20"/>
      <c r="G9" s="20"/>
      <c r="H9" s="20"/>
      <c r="I9" s="20"/>
      <c r="J9" s="20"/>
      <c r="K9" s="20"/>
      <c r="L9" s="20"/>
      <c r="M9" s="20"/>
      <c r="N9" s="20"/>
      <c r="O9" s="20"/>
      <c r="P9" s="20"/>
      <c r="Q9" s="20"/>
      <c r="R9" s="20"/>
      <c r="S9" s="20"/>
      <c r="T9" s="20"/>
      <c r="U9" s="20"/>
      <c r="V9" s="20"/>
      <c r="W9" s="20"/>
      <c r="X9" s="20"/>
    </row>
    <row r="10" spans="1:24" x14ac:dyDescent="0.25">
      <c r="A10" s="20"/>
      <c r="B10" s="20"/>
      <c r="C10" s="20"/>
      <c r="D10" s="20"/>
      <c r="E10" s="20"/>
      <c r="F10" s="20"/>
      <c r="G10" s="20"/>
      <c r="H10" s="20"/>
      <c r="I10" s="20"/>
      <c r="J10" s="20"/>
      <c r="K10" s="20"/>
      <c r="L10" s="20"/>
      <c r="M10" s="20"/>
      <c r="N10" s="20"/>
      <c r="O10" s="20"/>
      <c r="P10" s="20"/>
      <c r="Q10" s="20"/>
      <c r="R10" s="20"/>
      <c r="S10" s="20"/>
      <c r="T10" s="20"/>
      <c r="U10" s="20"/>
      <c r="V10" s="20"/>
      <c r="W10" s="20"/>
      <c r="X10" s="20"/>
    </row>
    <row r="11" spans="1:24" x14ac:dyDescent="0.25">
      <c r="A11" s="20"/>
      <c r="B11" s="20"/>
      <c r="C11" s="20"/>
      <c r="D11" s="20"/>
      <c r="E11" s="20"/>
      <c r="F11" s="20"/>
      <c r="G11" s="20"/>
      <c r="H11" s="20"/>
      <c r="I11" s="20"/>
      <c r="J11" s="20"/>
      <c r="K11" s="20"/>
      <c r="L11" s="20"/>
      <c r="M11" s="20"/>
      <c r="N11" s="20"/>
      <c r="O11" s="20"/>
      <c r="P11" s="20"/>
      <c r="Q11" s="20"/>
      <c r="R11" s="20"/>
      <c r="S11" s="20"/>
      <c r="T11" s="20"/>
      <c r="U11" s="20"/>
      <c r="V11" s="20"/>
      <c r="W11" s="20"/>
      <c r="X11" s="20"/>
    </row>
    <row r="12" spans="1:24" x14ac:dyDescent="0.25">
      <c r="A12" s="20"/>
      <c r="B12" s="20"/>
      <c r="C12" s="20"/>
      <c r="D12" s="20"/>
      <c r="E12" s="20"/>
      <c r="F12" s="20"/>
      <c r="G12" s="20"/>
      <c r="H12" s="20"/>
      <c r="I12" s="20"/>
      <c r="J12" s="20"/>
      <c r="K12" s="20"/>
      <c r="L12" s="20"/>
      <c r="M12" s="20"/>
      <c r="N12" s="20"/>
      <c r="O12" s="20"/>
      <c r="P12" s="20"/>
      <c r="Q12" s="20"/>
      <c r="R12" s="20"/>
      <c r="S12" s="20"/>
      <c r="T12" s="20"/>
      <c r="U12" s="20"/>
      <c r="V12" s="20"/>
      <c r="W12" s="20"/>
      <c r="X12" s="20"/>
    </row>
    <row r="13" spans="1:24" x14ac:dyDescent="0.25">
      <c r="A13" s="20"/>
      <c r="B13" s="20"/>
      <c r="C13" s="20"/>
      <c r="D13" s="20"/>
      <c r="E13" s="20"/>
      <c r="F13" s="20"/>
      <c r="G13" s="20"/>
      <c r="H13" s="20"/>
      <c r="I13" s="20"/>
      <c r="J13" s="20"/>
      <c r="K13" s="20"/>
      <c r="L13" s="20"/>
      <c r="M13" s="20"/>
      <c r="N13" s="20"/>
      <c r="O13" s="20"/>
      <c r="P13" s="20"/>
      <c r="Q13" s="20"/>
      <c r="R13" s="20"/>
      <c r="S13" s="20"/>
      <c r="T13" s="20"/>
      <c r="U13" s="20"/>
      <c r="V13" s="20"/>
      <c r="W13" s="20"/>
      <c r="X13" s="20"/>
    </row>
    <row r="14" spans="1:24" x14ac:dyDescent="0.25">
      <c r="A14" s="20"/>
      <c r="B14" s="20"/>
      <c r="C14" s="20"/>
      <c r="D14" s="20"/>
      <c r="E14" s="20"/>
      <c r="F14" s="20"/>
      <c r="G14" s="20"/>
      <c r="H14" s="20"/>
      <c r="I14" s="20"/>
      <c r="J14" s="20"/>
      <c r="K14" s="20"/>
      <c r="L14" s="20"/>
      <c r="M14" s="20"/>
      <c r="N14" s="20"/>
      <c r="O14" s="20"/>
      <c r="P14" s="20"/>
      <c r="Q14" s="20"/>
      <c r="R14" s="20"/>
      <c r="S14" s="20"/>
      <c r="T14" s="20"/>
      <c r="U14" s="20"/>
      <c r="V14" s="20"/>
      <c r="W14" s="20"/>
      <c r="X14" s="20"/>
    </row>
    <row r="15" spans="1:24" x14ac:dyDescent="0.25">
      <c r="A15" s="20"/>
      <c r="B15" s="20"/>
      <c r="C15" s="20"/>
      <c r="D15" s="20"/>
      <c r="E15" s="20"/>
      <c r="F15" s="20"/>
      <c r="G15" s="20"/>
      <c r="H15" s="20"/>
      <c r="I15" s="20"/>
      <c r="J15" s="20"/>
      <c r="K15" s="20"/>
      <c r="L15" s="20"/>
      <c r="M15" s="20"/>
      <c r="N15" s="20"/>
      <c r="O15" s="20"/>
      <c r="P15" s="20"/>
      <c r="Q15" s="20"/>
      <c r="R15" s="20"/>
      <c r="S15" s="20"/>
      <c r="T15" s="20"/>
      <c r="U15" s="20"/>
      <c r="V15" s="20"/>
      <c r="W15" s="20"/>
      <c r="X15" s="20"/>
    </row>
    <row r="16" spans="1:24" x14ac:dyDescent="0.25">
      <c r="A16" s="20"/>
      <c r="B16" s="20"/>
      <c r="C16" s="20"/>
      <c r="D16" s="20"/>
      <c r="E16" s="20"/>
      <c r="F16" s="20"/>
      <c r="G16" s="20"/>
      <c r="H16" s="20"/>
      <c r="I16" s="20"/>
      <c r="J16" s="20"/>
      <c r="K16" s="20"/>
      <c r="L16" s="20"/>
      <c r="M16" s="20"/>
      <c r="N16" s="20"/>
      <c r="O16" s="29"/>
      <c r="P16" s="38" t="str" cm="1">
        <f t="array" ref="P16:T16">pivots!B82:F82</f>
        <v>R01</v>
      </c>
      <c r="Q16" s="38" t="str">
        <v>R02</v>
      </c>
      <c r="R16" s="38" t="str">
        <v>R03</v>
      </c>
      <c r="S16" s="38" t="str">
        <v>R04</v>
      </c>
      <c r="T16" s="38" t="str">
        <v>R05</v>
      </c>
      <c r="U16" s="39" t="str">
        <f>pivots!G82</f>
        <v>Grand Total</v>
      </c>
      <c r="V16" s="20"/>
      <c r="W16" s="20"/>
      <c r="X16" s="20"/>
    </row>
    <row r="17" spans="1:24" x14ac:dyDescent="0.25">
      <c r="A17" s="20"/>
      <c r="B17" s="20"/>
      <c r="C17" s="20"/>
      <c r="D17" s="20"/>
      <c r="E17" s="20"/>
      <c r="F17" s="20"/>
      <c r="G17" s="20"/>
      <c r="H17" s="20"/>
      <c r="I17" s="20"/>
      <c r="J17" s="20"/>
      <c r="K17" s="20"/>
      <c r="L17" s="20"/>
      <c r="M17" s="20"/>
      <c r="N17" s="20"/>
      <c r="O17" s="40" t="str" cm="1">
        <f t="array" ref="O17:U34">IF(pivots!A83:G100="","",pivots!A83:G100)</f>
        <v>Cincinnati</v>
      </c>
      <c r="P17" s="30" t="str">
        <v/>
      </c>
      <c r="Q17" s="30" t="str">
        <v/>
      </c>
      <c r="R17" s="30" t="str">
        <v/>
      </c>
      <c r="S17" s="30" t="str">
        <v/>
      </c>
      <c r="T17" s="30" t="str">
        <v/>
      </c>
      <c r="U17" s="31" t="str">
        <v/>
      </c>
      <c r="V17" s="20"/>
      <c r="W17" s="20"/>
      <c r="X17" s="20"/>
    </row>
    <row r="18" spans="1:24" x14ac:dyDescent="0.25">
      <c r="A18" s="20"/>
      <c r="B18" s="20"/>
      <c r="C18" s="20"/>
      <c r="D18" s="20"/>
      <c r="E18" s="20"/>
      <c r="F18" s="20"/>
      <c r="G18" s="20"/>
      <c r="H18" s="20"/>
      <c r="I18" s="20"/>
      <c r="J18" s="20"/>
      <c r="K18" s="20"/>
      <c r="L18" s="20"/>
      <c r="M18" s="20"/>
      <c r="N18" s="20"/>
      <c r="O18" s="32" t="str">
        <v>C0003</v>
      </c>
      <c r="P18" s="33">
        <v>891</v>
      </c>
      <c r="Q18" s="33">
        <v>1332</v>
      </c>
      <c r="R18" s="33">
        <v>1282</v>
      </c>
      <c r="S18" s="33">
        <v>739</v>
      </c>
      <c r="T18" s="33">
        <v>560</v>
      </c>
      <c r="U18" s="34">
        <v>4804</v>
      </c>
      <c r="V18" s="20"/>
      <c r="W18" s="20"/>
      <c r="X18" s="20"/>
    </row>
    <row r="19" spans="1:24" x14ac:dyDescent="0.25">
      <c r="A19" s="20"/>
      <c r="B19" s="20"/>
      <c r="C19" s="20"/>
      <c r="D19" s="20"/>
      <c r="E19" s="20"/>
      <c r="F19" s="20"/>
      <c r="G19" s="20"/>
      <c r="H19" s="20"/>
      <c r="I19" s="20"/>
      <c r="J19" s="20"/>
      <c r="K19" s="20"/>
      <c r="L19" s="20"/>
      <c r="M19" s="20"/>
      <c r="N19" s="20"/>
      <c r="O19" s="32" t="str">
        <v>C0004</v>
      </c>
      <c r="P19" s="33">
        <v>1991</v>
      </c>
      <c r="Q19" s="33">
        <v>1886</v>
      </c>
      <c r="R19" s="33">
        <v>1206</v>
      </c>
      <c r="S19" s="33">
        <v>884</v>
      </c>
      <c r="T19" s="33">
        <v>1722</v>
      </c>
      <c r="U19" s="34">
        <v>7689</v>
      </c>
      <c r="V19" s="20"/>
      <c r="W19" s="20"/>
      <c r="X19" s="20"/>
    </row>
    <row r="20" spans="1:24" x14ac:dyDescent="0.25">
      <c r="A20" s="20"/>
      <c r="B20" s="20"/>
      <c r="C20" s="20"/>
      <c r="D20" s="20"/>
      <c r="E20" s="20"/>
      <c r="F20" s="20"/>
      <c r="G20" s="20"/>
      <c r="H20" s="20"/>
      <c r="I20" s="20"/>
      <c r="J20" s="20"/>
      <c r="K20" s="20"/>
      <c r="L20" s="20"/>
      <c r="M20" s="20"/>
      <c r="N20" s="20"/>
      <c r="O20" s="32" t="str">
        <v>C0011</v>
      </c>
      <c r="P20" s="33">
        <v>1163</v>
      </c>
      <c r="Q20" s="33">
        <v>1180</v>
      </c>
      <c r="R20" s="33">
        <v>1616</v>
      </c>
      <c r="S20" s="33">
        <v>1043</v>
      </c>
      <c r="T20" s="33">
        <v>1747</v>
      </c>
      <c r="U20" s="34">
        <v>6749</v>
      </c>
      <c r="V20" s="20"/>
      <c r="W20" s="20"/>
      <c r="X20" s="20"/>
    </row>
    <row r="21" spans="1:24" x14ac:dyDescent="0.25">
      <c r="A21" s="20"/>
      <c r="B21" s="20"/>
      <c r="C21" s="20"/>
      <c r="D21" s="20"/>
      <c r="E21" s="20"/>
      <c r="F21" s="20"/>
      <c r="G21" s="20"/>
      <c r="H21" s="20"/>
      <c r="I21" s="20"/>
      <c r="J21" s="20"/>
      <c r="K21" s="20"/>
      <c r="L21" s="20"/>
      <c r="M21" s="20"/>
      <c r="N21" s="20"/>
      <c r="O21" s="32" t="str">
        <v>C0012</v>
      </c>
      <c r="P21" s="33">
        <v>1438</v>
      </c>
      <c r="Q21" s="33">
        <v>1616</v>
      </c>
      <c r="R21" s="33">
        <v>866</v>
      </c>
      <c r="S21" s="33">
        <v>829</v>
      </c>
      <c r="T21" s="33">
        <v>2070</v>
      </c>
      <c r="U21" s="34">
        <v>6819</v>
      </c>
      <c r="V21" s="20"/>
      <c r="W21" s="20"/>
      <c r="X21" s="20"/>
    </row>
    <row r="22" spans="1:24" x14ac:dyDescent="0.25">
      <c r="A22" s="20"/>
      <c r="B22" s="20"/>
      <c r="C22" s="20"/>
      <c r="D22" s="20"/>
      <c r="E22" s="20"/>
      <c r="F22" s="20"/>
      <c r="G22" s="20"/>
      <c r="H22" s="20"/>
      <c r="I22" s="20"/>
      <c r="J22" s="20"/>
      <c r="K22" s="20"/>
      <c r="L22" s="20"/>
      <c r="M22" s="20"/>
      <c r="N22" s="20"/>
      <c r="O22" s="40" t="str">
        <v>Cleveland</v>
      </c>
      <c r="P22" s="33" t="str">
        <v/>
      </c>
      <c r="Q22" s="33" t="str">
        <v/>
      </c>
      <c r="R22" s="33" t="str">
        <v/>
      </c>
      <c r="S22" s="33" t="str">
        <v/>
      </c>
      <c r="T22" s="33" t="str">
        <v/>
      </c>
      <c r="U22" s="34" t="str">
        <v/>
      </c>
      <c r="V22" s="20"/>
      <c r="W22" s="20"/>
      <c r="X22" s="20"/>
    </row>
    <row r="23" spans="1:24" x14ac:dyDescent="0.25">
      <c r="A23" s="20"/>
      <c r="B23" s="20"/>
      <c r="C23" s="20"/>
      <c r="D23" s="20"/>
      <c r="E23" s="20"/>
      <c r="F23" s="20"/>
      <c r="G23" s="20"/>
      <c r="H23" s="20"/>
      <c r="I23" s="20"/>
      <c r="J23" s="20"/>
      <c r="K23" s="20"/>
      <c r="L23" s="20"/>
      <c r="M23" s="20"/>
      <c r="N23" s="20"/>
      <c r="O23" s="32" t="str">
        <v>C0002</v>
      </c>
      <c r="P23" s="33">
        <v>1233</v>
      </c>
      <c r="Q23" s="33">
        <v>223</v>
      </c>
      <c r="R23" s="33">
        <v>1680</v>
      </c>
      <c r="S23" s="33">
        <v>990</v>
      </c>
      <c r="T23" s="33">
        <v>1508</v>
      </c>
      <c r="U23" s="34">
        <v>5634</v>
      </c>
      <c r="V23" s="20"/>
      <c r="W23" s="20"/>
      <c r="X23" s="20"/>
    </row>
    <row r="24" spans="1:24" x14ac:dyDescent="0.25">
      <c r="A24" s="20"/>
      <c r="B24" s="20"/>
      <c r="C24" s="20"/>
      <c r="D24" s="20"/>
      <c r="E24" s="20"/>
      <c r="F24" s="20"/>
      <c r="G24" s="20"/>
      <c r="H24" s="20"/>
      <c r="I24" s="20"/>
      <c r="J24" s="20"/>
      <c r="K24" s="20"/>
      <c r="L24" s="20"/>
      <c r="M24" s="20"/>
      <c r="N24" s="20"/>
      <c r="O24" s="32" t="str">
        <v>C0007</v>
      </c>
      <c r="P24" s="33">
        <v>1598</v>
      </c>
      <c r="Q24" s="33">
        <v>1907</v>
      </c>
      <c r="R24" s="33">
        <v>869</v>
      </c>
      <c r="S24" s="33">
        <v>1426</v>
      </c>
      <c r="T24" s="33">
        <v>1416</v>
      </c>
      <c r="U24" s="34">
        <v>7216</v>
      </c>
      <c r="V24" s="20"/>
      <c r="W24" s="20"/>
      <c r="X24" s="20"/>
    </row>
    <row r="25" spans="1:24" x14ac:dyDescent="0.25">
      <c r="A25" s="20"/>
      <c r="B25" s="20"/>
      <c r="C25" s="20"/>
      <c r="D25" s="20"/>
      <c r="E25" s="20"/>
      <c r="F25" s="20"/>
      <c r="G25" s="20"/>
      <c r="H25" s="20"/>
      <c r="I25" s="20"/>
      <c r="J25" s="20"/>
      <c r="K25" s="20"/>
      <c r="L25" s="20"/>
      <c r="M25" s="20"/>
      <c r="N25" s="20"/>
      <c r="O25" s="32" t="str">
        <v>C0008</v>
      </c>
      <c r="P25" s="33">
        <v>900</v>
      </c>
      <c r="Q25" s="33">
        <v>1016</v>
      </c>
      <c r="R25" s="33">
        <v>960</v>
      </c>
      <c r="S25" s="33">
        <v>940</v>
      </c>
      <c r="T25" s="33">
        <v>1193</v>
      </c>
      <c r="U25" s="34">
        <v>5009</v>
      </c>
      <c r="V25" s="20"/>
      <c r="W25" s="20"/>
      <c r="X25" s="20"/>
    </row>
    <row r="26" spans="1:24" x14ac:dyDescent="0.25">
      <c r="A26" s="20"/>
      <c r="B26" s="20"/>
      <c r="C26" s="20"/>
      <c r="D26" s="20"/>
      <c r="E26" s="20"/>
      <c r="F26" s="20"/>
      <c r="G26" s="20"/>
      <c r="H26" s="20"/>
      <c r="I26" s="20"/>
      <c r="J26" s="20"/>
      <c r="K26" s="20"/>
      <c r="L26" s="20"/>
      <c r="M26" s="20"/>
      <c r="N26" s="20"/>
      <c r="O26" s="32" t="str">
        <v>C0010</v>
      </c>
      <c r="P26" s="33">
        <v>900</v>
      </c>
      <c r="Q26" s="33">
        <v>1470</v>
      </c>
      <c r="R26" s="33">
        <v>1617</v>
      </c>
      <c r="S26" s="33">
        <v>1314</v>
      </c>
      <c r="T26" s="33">
        <v>941</v>
      </c>
      <c r="U26" s="34">
        <v>6242</v>
      </c>
      <c r="V26" s="20"/>
      <c r="W26" s="20"/>
      <c r="X26" s="20"/>
    </row>
    <row r="27" spans="1:24" x14ac:dyDescent="0.25">
      <c r="A27" s="20"/>
      <c r="B27" s="20"/>
      <c r="C27" s="20"/>
      <c r="D27" s="20"/>
      <c r="E27" s="20"/>
      <c r="F27" s="20"/>
      <c r="G27" s="20"/>
      <c r="H27" s="20"/>
      <c r="I27" s="20"/>
      <c r="J27" s="20"/>
      <c r="K27" s="20"/>
      <c r="L27" s="20"/>
      <c r="M27" s="20"/>
      <c r="N27" s="20"/>
      <c r="O27" s="32" t="str">
        <v>C0013</v>
      </c>
      <c r="P27" s="33">
        <v>1255</v>
      </c>
      <c r="Q27" s="33">
        <v>516</v>
      </c>
      <c r="R27" s="33">
        <v>1874</v>
      </c>
      <c r="S27" s="33">
        <v>1863</v>
      </c>
      <c r="T27" s="33">
        <v>1722</v>
      </c>
      <c r="U27" s="34">
        <v>7230</v>
      </c>
      <c r="V27" s="20"/>
      <c r="W27" s="20"/>
      <c r="X27" s="20"/>
    </row>
    <row r="28" spans="1:24" x14ac:dyDescent="0.25">
      <c r="A28" s="20"/>
      <c r="B28" s="20"/>
      <c r="C28" s="20"/>
      <c r="D28" s="20"/>
      <c r="E28" s="20"/>
      <c r="F28" s="20"/>
      <c r="G28" s="20"/>
      <c r="H28" s="20"/>
      <c r="I28" s="20"/>
      <c r="J28" s="20"/>
      <c r="K28" s="20"/>
      <c r="L28" s="20"/>
      <c r="M28" s="20"/>
      <c r="N28" s="42"/>
      <c r="O28" s="32" t="str">
        <v>C0015</v>
      </c>
      <c r="P28" s="33">
        <v>1138</v>
      </c>
      <c r="Q28" s="33">
        <v>1898</v>
      </c>
      <c r="R28" s="33">
        <v>1482</v>
      </c>
      <c r="S28" s="33">
        <v>846</v>
      </c>
      <c r="T28" s="33">
        <v>1154</v>
      </c>
      <c r="U28" s="34">
        <v>6518</v>
      </c>
      <c r="V28" s="20"/>
      <c r="W28" s="20"/>
      <c r="X28" s="20"/>
    </row>
    <row r="29" spans="1:24" x14ac:dyDescent="0.25">
      <c r="A29" s="20"/>
      <c r="B29" s="20"/>
      <c r="C29" s="20"/>
      <c r="D29" s="20"/>
      <c r="E29" s="20"/>
      <c r="F29" s="20"/>
      <c r="G29" s="20"/>
      <c r="H29" s="20"/>
      <c r="I29" s="20"/>
      <c r="J29" s="20"/>
      <c r="K29" s="20"/>
      <c r="L29" s="20"/>
      <c r="M29" s="45" t="str">
        <f>pivots!I17</f>
        <v>Mrs.Hima</v>
      </c>
      <c r="N29" s="46"/>
      <c r="O29" s="40" t="str">
        <v>Columbus</v>
      </c>
      <c r="P29" s="33" t="str">
        <v/>
      </c>
      <c r="Q29" s="33" t="str">
        <v/>
      </c>
      <c r="R29" s="33" t="str">
        <v/>
      </c>
      <c r="S29" s="33" t="str">
        <v/>
      </c>
      <c r="T29" s="33" t="str">
        <v/>
      </c>
      <c r="U29" s="34" t="str">
        <v/>
      </c>
      <c r="V29" s="20"/>
      <c r="W29" s="20"/>
      <c r="X29" s="20"/>
    </row>
    <row r="30" spans="1:24" x14ac:dyDescent="0.25">
      <c r="A30" s="20"/>
      <c r="B30" s="20"/>
      <c r="C30" s="20"/>
      <c r="D30" s="20"/>
      <c r="E30" s="20"/>
      <c r="F30" s="20"/>
      <c r="G30" s="20"/>
      <c r="H30" s="20"/>
      <c r="I30" s="20"/>
      <c r="J30" s="20"/>
      <c r="K30" s="20"/>
      <c r="L30" s="20"/>
      <c r="M30" s="43" t="str">
        <f>pivots!I14</f>
        <v>% of calls:21%</v>
      </c>
      <c r="N30" s="44"/>
      <c r="O30" s="32" t="str">
        <v>C0001</v>
      </c>
      <c r="P30" s="33">
        <v>1655</v>
      </c>
      <c r="Q30" s="33">
        <v>805</v>
      </c>
      <c r="R30" s="33">
        <v>2263</v>
      </c>
      <c r="S30" s="33">
        <v>987</v>
      </c>
      <c r="T30" s="33">
        <v>1075</v>
      </c>
      <c r="U30" s="34">
        <v>6785</v>
      </c>
      <c r="V30" s="20"/>
      <c r="W30" s="20"/>
      <c r="X30" s="20"/>
    </row>
    <row r="31" spans="1:24" x14ac:dyDescent="0.25">
      <c r="A31" s="20"/>
      <c r="B31" s="20"/>
      <c r="C31" s="20"/>
      <c r="D31" s="20"/>
      <c r="E31" s="20"/>
      <c r="F31" s="20"/>
      <c r="G31" s="20"/>
      <c r="H31" s="20"/>
      <c r="I31" s="20"/>
      <c r="J31" s="20"/>
      <c r="K31" s="20"/>
      <c r="L31" s="20"/>
      <c r="M31" s="43" t="str">
        <f>pivots!I15</f>
        <v>Call Rank:2</v>
      </c>
      <c r="N31" s="44"/>
      <c r="O31" s="32" t="str">
        <v>C0005</v>
      </c>
      <c r="P31" s="33">
        <v>1104</v>
      </c>
      <c r="Q31" s="33">
        <v>2280</v>
      </c>
      <c r="R31" s="33">
        <v>1445</v>
      </c>
      <c r="S31" s="33">
        <v>1722</v>
      </c>
      <c r="T31" s="33">
        <v>1196</v>
      </c>
      <c r="U31" s="34">
        <v>7747</v>
      </c>
      <c r="V31" s="20"/>
      <c r="W31" s="20"/>
      <c r="X31" s="20"/>
    </row>
    <row r="32" spans="1:24" x14ac:dyDescent="0.25">
      <c r="A32" s="20"/>
      <c r="B32" s="20"/>
      <c r="C32" s="20"/>
      <c r="D32" s="20"/>
      <c r="E32" s="20"/>
      <c r="F32" s="20"/>
      <c r="G32" s="20"/>
      <c r="H32" s="20"/>
      <c r="I32" s="20"/>
      <c r="J32" s="20"/>
      <c r="K32" s="20"/>
      <c r="L32" s="20"/>
      <c r="M32" s="43" t="str">
        <f>pivots!I16</f>
        <v>Amount Rank:1</v>
      </c>
      <c r="N32" s="44"/>
      <c r="O32" s="32" t="str">
        <v>C0006</v>
      </c>
      <c r="P32" s="33">
        <v>372</v>
      </c>
      <c r="Q32" s="33">
        <v>1818</v>
      </c>
      <c r="R32" s="33">
        <v>1346</v>
      </c>
      <c r="S32" s="33">
        <v>1156</v>
      </c>
      <c r="T32" s="33">
        <v>1484</v>
      </c>
      <c r="U32" s="34">
        <v>6176</v>
      </c>
      <c r="V32" s="20"/>
      <c r="W32" s="20"/>
      <c r="X32" s="20"/>
    </row>
    <row r="33" spans="1:24" x14ac:dyDescent="0.25">
      <c r="A33" s="20"/>
      <c r="B33" s="20"/>
      <c r="C33" s="20"/>
      <c r="D33" s="20"/>
      <c r="E33" s="20"/>
      <c r="F33" s="20"/>
      <c r="G33" s="20"/>
      <c r="H33" s="20"/>
      <c r="I33" s="20"/>
      <c r="J33" s="20"/>
      <c r="K33" s="20"/>
      <c r="L33" s="20"/>
      <c r="M33" s="20"/>
      <c r="N33" s="20"/>
      <c r="O33" s="32" t="str">
        <v>C0009</v>
      </c>
      <c r="P33" s="33">
        <v>1415</v>
      </c>
      <c r="Q33" s="33">
        <v>1271</v>
      </c>
      <c r="R33" s="33">
        <v>1214</v>
      </c>
      <c r="S33" s="33">
        <v>1135</v>
      </c>
      <c r="T33" s="33">
        <v>1566</v>
      </c>
      <c r="U33" s="34">
        <v>6601</v>
      </c>
      <c r="V33" s="20"/>
      <c r="W33" s="20"/>
      <c r="X33" s="20"/>
    </row>
    <row r="34" spans="1:24" x14ac:dyDescent="0.25">
      <c r="A34" s="20"/>
      <c r="B34" s="20"/>
      <c r="C34" s="20"/>
      <c r="D34" s="20"/>
      <c r="E34" s="20"/>
      <c r="F34" s="20"/>
      <c r="G34" s="20"/>
      <c r="H34" s="20"/>
      <c r="I34" s="20"/>
      <c r="J34" s="20"/>
      <c r="K34" s="20"/>
      <c r="L34" s="20"/>
      <c r="M34" s="20"/>
      <c r="N34" s="20"/>
      <c r="O34" s="35" t="str">
        <v>C0014</v>
      </c>
      <c r="P34" s="36">
        <v>1362</v>
      </c>
      <c r="Q34" s="36">
        <v>1363</v>
      </c>
      <c r="R34" s="36">
        <v>1152</v>
      </c>
      <c r="S34" s="36">
        <v>777</v>
      </c>
      <c r="T34" s="36">
        <v>750</v>
      </c>
      <c r="U34" s="37">
        <v>5404</v>
      </c>
      <c r="V34" s="20"/>
      <c r="W34" s="20"/>
      <c r="X34" s="20"/>
    </row>
    <row r="35" spans="1:24" x14ac:dyDescent="0.25">
      <c r="A35" s="20"/>
      <c r="B35" s="20"/>
      <c r="C35" s="20"/>
      <c r="D35" s="20"/>
      <c r="E35" s="20"/>
      <c r="F35" s="20"/>
      <c r="G35" s="20"/>
      <c r="H35" s="20"/>
      <c r="I35" s="20"/>
      <c r="J35" s="20"/>
      <c r="K35" s="20"/>
      <c r="L35" s="20"/>
      <c r="M35" s="20"/>
      <c r="N35" s="20"/>
      <c r="O35" s="20"/>
      <c r="P35" s="20"/>
      <c r="Q35" s="20"/>
      <c r="R35" s="20"/>
      <c r="S35" s="20"/>
      <c r="T35" s="20"/>
      <c r="U35" s="20"/>
      <c r="V35" s="20"/>
      <c r="W35" s="20"/>
      <c r="X35" s="20"/>
    </row>
    <row r="36" spans="1:24" x14ac:dyDescent="0.25">
      <c r="A36" s="20"/>
      <c r="B36" s="20"/>
      <c r="C36" s="20"/>
      <c r="D36" s="20"/>
      <c r="E36" s="20"/>
      <c r="F36" s="20"/>
      <c r="G36" s="20"/>
      <c r="H36" s="20"/>
      <c r="I36" s="20"/>
      <c r="J36" s="20"/>
      <c r="K36" s="20"/>
      <c r="L36" s="20"/>
      <c r="M36" s="20"/>
      <c r="N36" s="20"/>
      <c r="O36" s="20"/>
      <c r="P36" s="20"/>
      <c r="Q36" s="20"/>
      <c r="R36" s="20"/>
      <c r="S36" s="20"/>
      <c r="T36" s="20"/>
      <c r="U36" s="20"/>
      <c r="V36" s="20"/>
      <c r="W36" s="20"/>
      <c r="X36" s="20"/>
    </row>
    <row r="37" spans="1:24" x14ac:dyDescent="0.25">
      <c r="A37" s="20"/>
      <c r="B37" s="20"/>
      <c r="C37" s="20"/>
      <c r="D37" s="20"/>
      <c r="E37" s="20"/>
      <c r="F37" s="20"/>
      <c r="G37" s="20"/>
      <c r="H37" s="20"/>
      <c r="I37" s="20"/>
      <c r="J37" s="20"/>
      <c r="K37" s="20"/>
      <c r="L37" s="20"/>
      <c r="M37" s="20"/>
      <c r="N37" s="20"/>
      <c r="O37" s="20"/>
      <c r="P37" s="20"/>
      <c r="Q37" s="20"/>
      <c r="R37" s="20"/>
      <c r="S37" s="20"/>
      <c r="T37" s="20"/>
      <c r="U37" s="20"/>
      <c r="V37" s="20"/>
      <c r="W37" s="20"/>
      <c r="X37" s="20"/>
    </row>
    <row r="38" spans="1:24" x14ac:dyDescent="0.25">
      <c r="A38" s="20"/>
      <c r="B38" s="20"/>
      <c r="C38" s="20"/>
      <c r="D38" s="20"/>
      <c r="E38" s="20"/>
      <c r="F38" s="20"/>
      <c r="G38" s="20"/>
      <c r="H38" s="20"/>
      <c r="I38" s="20"/>
      <c r="J38" s="20"/>
      <c r="K38" s="20"/>
      <c r="L38" s="20"/>
      <c r="M38" s="20"/>
      <c r="N38" s="20"/>
      <c r="O38" s="20"/>
      <c r="P38" s="20"/>
      <c r="Q38" s="20"/>
      <c r="R38" s="20"/>
      <c r="S38" s="20"/>
      <c r="T38" s="20"/>
      <c r="U38" s="20"/>
      <c r="V38" s="20"/>
      <c r="W38" s="20"/>
      <c r="X38" s="20"/>
    </row>
    <row r="39" spans="1:24"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row>
  </sheetData>
  <mergeCells count="4">
    <mergeCell ref="M31:N31"/>
    <mergeCell ref="M32:N32"/>
    <mergeCell ref="M29:N29"/>
    <mergeCell ref="M30:N30"/>
  </mergeCells>
  <conditionalFormatting sqref="P17:T34">
    <cfRule type="dataBar" priority="2">
      <dataBar>
        <cfvo type="num" val="0"/>
        <cfvo type="formula" val="MAX($P$17:$T$34)*2"/>
        <color theme="3" tint="0.39997558519241921"/>
      </dataBar>
      <extLst>
        <ext xmlns:x14="http://schemas.microsoft.com/office/spreadsheetml/2009/9/main" uri="{B025F937-C7B1-47D3-B67F-A62EFF666E3E}">
          <x14:id>{81BE3C9B-5A7F-45E4-A21D-F8159BC4E551}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6" id="{3EF1C58C-E2C4-4606-BF26-9D05A7342F16}">
            <xm:f>P$16=pivots!$A$50</xm:f>
            <x14:dxf>
              <fill>
                <patternFill>
                  <bgColor theme="5"/>
                </patternFill>
              </fill>
              <border>
                <left style="thin">
                  <color auto="1"/>
                </left>
                <right style="thin">
                  <color auto="1"/>
                </right>
                <vertical/>
                <horizontal/>
              </border>
            </x14:dxf>
          </x14:cfRule>
          <xm:sqref>P16:T34</xm:sqref>
        </x14:conditionalFormatting>
        <x14:conditionalFormatting xmlns:xm="http://schemas.microsoft.com/office/excel/2006/main">
          <x14:cfRule type="dataBar" id="{81BE3C9B-5A7F-45E4-A21D-F8159BC4E551}">
            <x14:dataBar minLength="0" maxLength="100" gradient="0">
              <x14:cfvo type="num">
                <xm:f>0</xm:f>
              </x14:cfvo>
              <x14:cfvo type="formula">
                <xm:f>MAX($P$17:$T$34)*2</xm:f>
              </x14:cfvo>
              <x14:negativeFillColor rgb="FFFF0000"/>
              <x14:axisColor rgb="FF000000"/>
            </x14:dataBar>
          </x14:cfRule>
          <xm:sqref>P17:T34</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95" zoomScaleNormal="95" workbookViewId="0">
      <selection activeCell="F8" sqref="F8"/>
    </sheetView>
  </sheetViews>
  <sheetFormatPr defaultRowHeight="13.8" x14ac:dyDescent="0.25"/>
  <cols>
    <col min="5" max="5" width="10.8984375" customWidth="1"/>
    <col min="6" max="6" width="16.796875" customWidth="1"/>
  </cols>
  <sheetData>
    <row r="2" spans="5:6" x14ac:dyDescent="0.25">
      <c r="E2" t="s">
        <v>1040</v>
      </c>
      <c r="F2" t="s">
        <v>1041</v>
      </c>
    </row>
    <row r="3" spans="5:6" ht="25.5" customHeight="1" x14ac:dyDescent="0.25">
      <c r="E3" t="s">
        <v>11</v>
      </c>
      <c r="F3" t="s">
        <v>1082</v>
      </c>
    </row>
    <row r="4" spans="5:6" ht="25.5" customHeight="1" x14ac:dyDescent="0.25">
      <c r="E4" t="s">
        <v>9</v>
      </c>
      <c r="F4" t="s">
        <v>1083</v>
      </c>
    </row>
    <row r="5" spans="5:6" ht="25.5" customHeight="1" x14ac:dyDescent="0.25">
      <c r="E5" t="s">
        <v>6</v>
      </c>
      <c r="F5" t="s">
        <v>1084</v>
      </c>
    </row>
    <row r="6" spans="5:6" ht="25.5" customHeight="1" x14ac:dyDescent="0.25">
      <c r="E6" t="s">
        <v>13</v>
      </c>
      <c r="F6" t="s">
        <v>1085</v>
      </c>
    </row>
    <row r="7" spans="5:6" ht="25.5" customHeight="1" x14ac:dyDescent="0.25">
      <c r="E7" t="s">
        <v>10</v>
      </c>
      <c r="F7" t="s">
        <v>1086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customer centre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DHARANI ANANYA PULAVARTHI</cp:lastModifiedBy>
  <dcterms:created xsi:type="dcterms:W3CDTF">2021-03-14T20:21:32Z</dcterms:created>
  <dcterms:modified xsi:type="dcterms:W3CDTF">2026-05-27T07:09:28Z</dcterms:modified>
</cp:coreProperties>
</file>